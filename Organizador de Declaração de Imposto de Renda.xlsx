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Kemily\Downloads\"/>
    </mc:Choice>
  </mc:AlternateContent>
  <xr:revisionPtr revIDLastSave="0" documentId="13_ncr:1_{F1528E93-3EB0-433F-9914-A5C8190DA7C9}" xr6:coauthVersionLast="47" xr6:coauthVersionMax="47" xr10:uidLastSave="{00000000-0000-0000-0000-000000000000}"/>
  <bookViews>
    <workbookView xWindow="-120" yWindow="-120" windowWidth="20730" windowHeight="11160" tabRatio="0" firstSheet="3" activeTab="4" xr2:uid="{1C1F6274-6663-434E-B6B1-2886BA4432A3}"/>
  </bookViews>
  <sheets>
    <sheet name="Tabelas" sheetId="2" state="hidden" r:id="rId1"/>
    <sheet name="Títular" sheetId="3" r:id="rId2"/>
    <sheet name="Infome" sheetId="7" r:id="rId3"/>
    <sheet name="Notas" sheetId="8" r:id="rId4"/>
    <sheet name="Resultado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9" l="1"/>
  <c r="N5" i="9"/>
  <c r="H9" i="9"/>
  <c r="O6" i="9" s="1"/>
  <c r="E9" i="9"/>
  <c r="O5" i="9" s="1"/>
  <c r="C6" i="7"/>
  <c r="K9" i="9" l="1"/>
</calcChain>
</file>

<file path=xl/sharedStrings.xml><?xml version="1.0" encoding="utf-8"?>
<sst xmlns="http://schemas.openxmlformats.org/spreadsheetml/2006/main" count="116" uniqueCount="99">
  <si>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</si>
  <si>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</si>
  <si>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</si>
  <si>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</si>
  <si>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</si>
  <si>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</si>
  <si>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</si>
  <si>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</si>
  <si>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</si>
  <si>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</si>
  <si>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</si>
  <si>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</si>
  <si>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</si>
  <si>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</si>
  <si>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</si>
  <si>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</si>
  <si>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</si>
  <si>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</si>
  <si>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</si>
  <si>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</si>
  <si>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</si>
  <si>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</si>
  <si>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</si>
  <si>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</si>
  <si>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</si>
  <si>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</si>
  <si>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</si>
  <si>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</si>
  <si>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</si>
  <si>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</si>
  <si>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</si>
  <si>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</si>
  <si>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</si>
  <si>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</si>
  <si>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</si>
  <si>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</si>
  <si>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</si>
  <si>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</si>
  <si>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</si>
  <si>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</si>
  <si>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</si>
  <si>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</si>
  <si>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</si>
  <si>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</si>
  <si>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</si>
  <si>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</si>
  <si>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</si>
  <si>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</si>
  <si>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</si>
  <si>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</si>
  <si>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bancos</t>
  </si>
  <si>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</si>
  <si>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</si>
  <si>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</si>
  <si>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</si>
  <si>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</si>
  <si>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</si>
  <si>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</si>
  <si>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</si>
  <si>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</si>
  <si>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</si>
  <si>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</si>
  <si>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</si>
  <si>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</si>
  <si>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</si>
  <si>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</si>
  <si>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</si>
  <si>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</si>
  <si>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</si>
  <si>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</si>
  <si>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</si>
  <si>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</si>
  <si>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</si>
  <si>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</si>
  <si>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</si>
  <si>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</si>
  <si>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</si>
  <si>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</si>
  <si>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</si>
  <si>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VALOR ATUAL</t>
  </si>
  <si>
    <t>ANEXO 🖇️</t>
  </si>
  <si>
    <t>topazao_2025.pdf</t>
  </si>
  <si>
    <t>2º Banco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</si>
  <si>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</si>
  <si>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</si>
  <si>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</si>
  <si>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</si>
  <si>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</si>
  <si>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</si>
  <si>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</si>
  <si>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</si>
  <si>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SAÍDAS</t>
  </si>
  <si>
    <t>VARIÁVEL CONFORTO</t>
  </si>
  <si>
    <t>FIXOS</t>
  </si>
  <si>
    <t>CONSOLIDAÇÃO DE ENTRADAS E SAÍDAS</t>
  </si>
  <si>
    <t>SALDO</t>
  </si>
  <si>
    <t>CNPJ</t>
  </si>
  <si>
    <t>VARIÁVEL ESSENCIAL</t>
  </si>
  <si>
    <t>REGISTRO DE ENTRADAS E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</si>
</sst>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Segoe UI"/>
      <family val="2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2"/>
      <color theme="3"/>
      <name val="Aptos Narrow"/>
      <family val="2"/>
      <scheme val="minor"/>
    </font>
    <font>
      <i/>
      <sz val="12"/>
      <color theme="2" tint="-0.74999237037263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12"/>
      <color rgb="FF9C5700"/>
      <name val="Aptos Narrow"/>
      <scheme val="minor"/>
    </font>
    <font>
      <u/>
      <sz val="12"/>
      <color theme="10"/>
      <name val="Aptos Narrow"/>
      <scheme val="minor"/>
    </font>
    <font>
      <b/>
      <sz val="14"/>
      <color rgb="FFFFCC00"/>
      <name val="Aptos Narrow"/>
      <family val="2"/>
      <scheme val="minor"/>
    </font>
    <font>
      <b/>
      <sz val="11"/>
      <color theme="1"/>
      <name val="Segoe UI Light"/>
      <family val="2"/>
    </font>
    <font>
      <sz val="11"/>
      <color theme="1"/>
      <name val="Segoe UI"/>
      <family val="2"/>
    </font>
    <font>
      <b/>
      <sz val="11"/>
      <color rgb="FFFFFF66"/>
      <name val="Segoe UI"/>
      <family val="2"/>
    </font>
    <font>
      <b/>
      <sz val="8"/>
      <color theme="2" tint="-0.499984740745262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rgb="FF00B050"/>
      <name val="Aptos Narrow"/>
      <scheme val="minor"/>
    </font>
    <font>
      <b/>
      <sz val="11"/>
      <color rgb="FFFF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F0EA00"/>
      </bottom>
      <diagonal/>
    </border>
    <border>
      <left/>
      <right/>
      <top style="medium">
        <color rgb="FFF0EA0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0" fontId="10" fillId="0" borderId="0" xfId="0" applyFont="1"/>
    <xf numFmtId="0" fontId="8" fillId="0" borderId="3" xfId="2" applyFont="1" applyBorder="1"/>
    <xf numFmtId="0" fontId="9" fillId="4" borderId="0" xfId="0" applyFont="1" applyFill="1" applyBorder="1" applyAlignment="1">
      <alignment horizontal="left" vertical="center" indent="3"/>
    </xf>
    <xf numFmtId="0" fontId="6" fillId="4" borderId="0" xfId="0" applyFont="1" applyFill="1" applyBorder="1" applyAlignment="1">
      <alignment horizontal="left" vertical="center" indent="1"/>
    </xf>
    <xf numFmtId="0" fontId="11" fillId="0" borderId="2" xfId="0" applyFont="1" applyBorder="1" applyAlignment="1">
      <alignment horizontal="right" indent="1"/>
    </xf>
    <xf numFmtId="0" fontId="13" fillId="5" borderId="2" xfId="3" applyFont="1" applyFill="1" applyBorder="1" applyAlignment="1" applyProtection="1">
      <alignment horizontal="left"/>
      <protection locked="0"/>
    </xf>
    <xf numFmtId="164" fontId="13" fillId="5" borderId="2" xfId="3" applyNumberFormat="1" applyFont="1" applyFill="1" applyBorder="1" applyAlignment="1" applyProtection="1">
      <alignment horizontal="left"/>
      <protection locked="0"/>
    </xf>
    <xf numFmtId="14" fontId="13" fillId="5" borderId="2" xfId="3" applyNumberFormat="1" applyFont="1" applyFill="1" applyBorder="1" applyAlignment="1" applyProtection="1">
      <alignment horizontal="left"/>
      <protection locked="0"/>
    </xf>
    <xf numFmtId="165" fontId="13" fillId="5" borderId="2" xfId="3" applyNumberFormat="1" applyFont="1" applyFill="1" applyBorder="1" applyAlignment="1" applyProtection="1">
      <alignment horizontal="left"/>
      <protection locked="0"/>
    </xf>
    <xf numFmtId="166" fontId="13" fillId="5" borderId="2" xfId="3" applyNumberFormat="1" applyFont="1" applyFill="1" applyBorder="1" applyAlignment="1" applyProtection="1">
      <alignment horizontal="left"/>
      <protection locked="0"/>
    </xf>
    <xf numFmtId="167" fontId="13" fillId="5" borderId="2" xfId="3" applyNumberFormat="1" applyFont="1" applyFill="1" applyBorder="1" applyAlignment="1" applyProtection="1">
      <alignment horizontal="left"/>
      <protection locked="0"/>
    </xf>
    <xf numFmtId="0" fontId="14" fillId="5" borderId="2" xfId="4" applyFont="1" applyFill="1" applyBorder="1" applyAlignment="1" applyProtection="1">
      <alignment horizontal="left"/>
      <protection locked="0"/>
    </xf>
    <xf numFmtId="0" fontId="15" fillId="0" borderId="3" xfId="2" applyFont="1" applyBorder="1"/>
    <xf numFmtId="0" fontId="16" fillId="0" borderId="0" xfId="0" applyFont="1"/>
    <xf numFmtId="0" fontId="17" fillId="0" borderId="0" xfId="0" applyFont="1" applyAlignment="1" applyProtection="1">
      <alignment horizontal="center"/>
      <protection locked="0"/>
    </xf>
    <xf numFmtId="168" fontId="17" fillId="0" borderId="0" xfId="0" applyNumberFormat="1" applyFont="1" applyAlignment="1" applyProtection="1">
      <alignment horizontal="center"/>
      <protection locked="0"/>
    </xf>
    <xf numFmtId="0" fontId="3" fillId="5" borderId="2" xfId="3" applyFill="1" applyBorder="1" applyAlignment="1" applyProtection="1">
      <alignment horizontal="left"/>
      <protection locked="0"/>
    </xf>
    <xf numFmtId="168" fontId="3" fillId="5" borderId="2" xfId="1" applyNumberFormat="1" applyFont="1" applyFill="1" applyBorder="1" applyAlignment="1" applyProtection="1">
      <alignment horizontal="left"/>
      <protection locked="0"/>
    </xf>
    <xf numFmtId="169" fontId="17" fillId="6" borderId="0" xfId="0" applyNumberFormat="1" applyFont="1" applyFill="1" applyAlignment="1" applyProtection="1">
      <alignment horizontal="center"/>
      <protection locked="0"/>
    </xf>
    <xf numFmtId="0" fontId="17" fillId="6" borderId="0" xfId="0" applyFont="1" applyFill="1" applyAlignment="1" applyProtection="1">
      <alignment horizontal="center"/>
      <protection locked="0"/>
    </xf>
    <xf numFmtId="168" fontId="17" fillId="6" borderId="0" xfId="0" applyNumberFormat="1" applyFont="1" applyFill="1" applyAlignment="1" applyProtection="1">
      <alignment horizontal="center"/>
      <protection locked="0"/>
    </xf>
    <xf numFmtId="0" fontId="17" fillId="5" borderId="0" xfId="0" applyFont="1" applyFill="1" applyAlignment="1" applyProtection="1">
      <alignment horizontal="center"/>
      <protection locked="0"/>
    </xf>
    <xf numFmtId="168" fontId="17" fillId="5" borderId="0" xfId="0" applyNumberFormat="1" applyFont="1" applyFill="1" applyAlignment="1" applyProtection="1">
      <alignment horizontal="center"/>
      <protection locked="0"/>
    </xf>
    <xf numFmtId="0" fontId="5" fillId="7" borderId="0" xfId="0" applyFont="1" applyFill="1" applyAlignment="1">
      <alignment horizontal="center"/>
    </xf>
    <xf numFmtId="0" fontId="7" fillId="0" borderId="2" xfId="0" applyFont="1" applyBorder="1" applyAlignment="1">
      <alignment horizontal="right" indent="1"/>
    </xf>
    <xf numFmtId="0" fontId="19" fillId="0" borderId="0" xfId="0" applyFont="1"/>
    <xf numFmtId="0" fontId="0" fillId="0" borderId="0" xfId="0" applyProtection="1">
      <protection locked="0"/>
    </xf>
    <xf numFmtId="168" fontId="12" fillId="5" borderId="0" xfId="3" applyNumberFormat="1" applyFont="1" applyFill="1" applyAlignment="1">
      <alignment horizontal="center"/>
    </xf>
    <xf numFmtId="0" fontId="12" fillId="5" borderId="0" xfId="3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5" fillId="0" borderId="0" xfId="2" applyFont="1" applyBorder="1" applyAlignment="1">
      <alignment horizontal="left"/>
    </xf>
    <xf numFmtId="0" fontId="15" fillId="0" borderId="3" xfId="2" applyFont="1" applyBorder="1" applyAlignment="1">
      <alignment horizontal="left"/>
    </xf>
    <xf numFmtId="0" fontId="6" fillId="4" borderId="4" xfId="0" applyFont="1" applyFill="1" applyBorder="1" applyAlignment="1">
      <alignment vertical="center"/>
    </xf>
    <xf numFmtId="0" fontId="0" fillId="0" borderId="0" xfId="0" applyBorder="1"/>
    <xf numFmtId="169" fontId="17" fillId="5" borderId="0" xfId="0" applyNumberFormat="1" applyFont="1" applyFill="1" applyAlignment="1" applyProtection="1">
      <alignment horizontal="center"/>
      <protection locked="0"/>
    </xf>
    <xf numFmtId="168" fontId="22" fillId="0" borderId="0" xfId="0" applyNumberFormat="1" applyFont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168" fontId="21" fillId="9" borderId="0" xfId="0" applyNumberFormat="1" applyFont="1" applyFill="1" applyAlignment="1">
      <alignment horizontal="center" vertical="center"/>
    </xf>
    <xf numFmtId="168" fontId="22" fillId="9" borderId="0" xfId="0" applyNumberFormat="1" applyFont="1" applyFill="1" applyAlignment="1">
      <alignment horizontal="center" vertical="center"/>
    </xf>
    <xf numFmtId="0" fontId="20" fillId="0" borderId="0" xfId="0" applyFont="1"/>
    <xf numFmtId="168" fontId="20" fillId="0" borderId="0" xfId="0" applyNumberFormat="1" applyFont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11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fill>
        <patternFill patternType="solid">
          <fgColor indexed="64"/>
          <bgColor rgb="FFFFCC0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000"/>
      <color rgb="FFFFCC00"/>
      <color rgb="FFFFFF66"/>
      <color rgb="FF0E1317"/>
      <color rgb="FFF0EA00"/>
      <color rgb="FFFFFF99"/>
      <color rgb="FFFFFFB3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60584103899591E-2"/>
          <c:y val="6.4814814814814811E-2"/>
          <c:w val="0.91771857219046771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Resultado!$N$5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Resultado!$O$5</c:f>
              <c:numCache>
                <c:formatCode>"R$"\ #,##0.00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6-4F81-A99E-526683B25369}"/>
            </c:ext>
          </c:extLst>
        </c:ser>
        <c:ser>
          <c:idx val="1"/>
          <c:order val="1"/>
          <c:tx>
            <c:strRef>
              <c:f>Resultado!$N$6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Resultado!$O$6</c:f>
              <c:numCache>
                <c:formatCode>"R$"\ #,##0.00</c:formatCode>
                <c:ptCount val="1"/>
                <c:pt idx="0">
                  <c:v>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6-4F81-A99E-526683B2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11159439"/>
        <c:axId val="1811168175"/>
      </c:barChart>
      <c:catAx>
        <c:axId val="1811159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1168175"/>
        <c:crosses val="autoZero"/>
        <c:auto val="1"/>
        <c:lblAlgn val="ctr"/>
        <c:lblOffset val="100"/>
        <c:noMultiLvlLbl val="0"/>
      </c:catAx>
      <c:valAx>
        <c:axId val="1811168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81115943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emily-morelato-682b95124/" TargetMode="External"/><Relationship Id="rId4" Type="http://schemas.openxmlformats.org/officeDocument/2006/relationships/hyperlink" Target="#Infome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T&#237;tular!A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emily-morelato-682b95124/" TargetMode="External"/><Relationship Id="rId4" Type="http://schemas.openxmlformats.org/officeDocument/2006/relationships/hyperlink" Target="#Infome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Resultado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emily-morelato-682b95124/" TargetMode="External"/><Relationship Id="rId4" Type="http://schemas.openxmlformats.org/officeDocument/2006/relationships/hyperlink" Target="#Infome!C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85725</xdr:rowOff>
    </xdr:to>
    <xdr:sp macro="" textlink="">
      <xdr:nvSpPr>
        <xdr:cNvPr id="1025" name="AutoShape 1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D51FCAED-A6C2-4088-A062-22DFD83966B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85725</xdr:rowOff>
    </xdr:to>
    <xdr:sp macro="" textlink="">
      <xdr:nvSpPr>
        <xdr:cNvPr id="1027" name="AutoShape 3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008A4461-1492-4939-9DE7-23C8C3861C1D}"/>
            </a:ext>
          </a:extLst>
        </xdr:cNvPr>
        <xdr:cNvSpPr>
          <a:spLocks noChangeAspect="1" noChangeArrowheads="1"/>
        </xdr:cNvSpPr>
      </xdr:nvSpPr>
      <xdr:spPr bwMode="auto">
        <a:xfrm>
          <a:off x="8620125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85725</xdr:rowOff>
    </xdr:to>
    <xdr:sp macro="" textlink="">
      <xdr:nvSpPr>
        <xdr:cNvPr id="1030" name="AutoShape 6" descr="Butterfly Logo PNG Vector (EPS) Free Download">
          <a:extLst>
            <a:ext uri="{FF2B5EF4-FFF2-40B4-BE49-F238E27FC236}">
              <a16:creationId xmlns:a16="http://schemas.microsoft.com/office/drawing/2014/main" id="{664BF9B0-9AE9-4D65-A40D-91C49A078F8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85725</xdr:rowOff>
    </xdr:to>
    <xdr:sp macro="" textlink="">
      <xdr:nvSpPr>
        <xdr:cNvPr id="1031" name="AutoShape 7" descr="Butterfly Logo PNG Vector (EPS) Free Download">
          <a:extLst>
            <a:ext uri="{FF2B5EF4-FFF2-40B4-BE49-F238E27FC236}">
              <a16:creationId xmlns:a16="http://schemas.microsoft.com/office/drawing/2014/main" id="{4E9F662D-57F7-4A5C-BE28-65985522CFA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85725</xdr:rowOff>
    </xdr:to>
    <xdr:sp macro="" textlink="">
      <xdr:nvSpPr>
        <xdr:cNvPr id="1032" name="AutoShape 8" descr="Butterfly Logo PNG Vector">
          <a:extLst>
            <a:ext uri="{FF2B5EF4-FFF2-40B4-BE49-F238E27FC236}">
              <a16:creationId xmlns:a16="http://schemas.microsoft.com/office/drawing/2014/main" id="{F6D63088-A56A-48C7-9596-CBACC34B4D5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85725</xdr:rowOff>
    </xdr:to>
    <xdr:sp macro="" textlink="">
      <xdr:nvSpPr>
        <xdr:cNvPr id="1033" name="AutoShape 9" descr="Butterfly Logo PNG Vector">
          <a:extLst>
            <a:ext uri="{FF2B5EF4-FFF2-40B4-BE49-F238E27FC236}">
              <a16:creationId xmlns:a16="http://schemas.microsoft.com/office/drawing/2014/main" id="{0BF9ECCD-17C9-458A-9AF4-D2D07D61EFC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85725</xdr:rowOff>
    </xdr:to>
    <xdr:sp macro="" textlink="">
      <xdr:nvSpPr>
        <xdr:cNvPr id="1034" name="AutoShape 10" descr="Butterfly Logo PNG Vector">
          <a:extLst>
            <a:ext uri="{FF2B5EF4-FFF2-40B4-BE49-F238E27FC236}">
              <a16:creationId xmlns:a16="http://schemas.microsoft.com/office/drawing/2014/main" id="{F2099923-2A55-46F8-8838-656F7A3F07CF}"/>
            </a:ext>
          </a:extLst>
        </xdr:cNvPr>
        <xdr:cNvSpPr>
          <a:spLocks noChangeAspect="1" noChangeArrowheads="1"/>
        </xdr:cNvSpPr>
      </xdr:nvSpPr>
      <xdr:spPr bwMode="auto">
        <a:xfrm>
          <a:off x="3819525" y="16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85725</xdr:rowOff>
    </xdr:to>
    <xdr:sp macro="" textlink="">
      <xdr:nvSpPr>
        <xdr:cNvPr id="1036" name="AutoShape 12" descr="PNG Blue Butterfly Icon with Transparent Background | PNG Free [download]">
          <a:extLst>
            <a:ext uri="{FF2B5EF4-FFF2-40B4-BE49-F238E27FC236}">
              <a16:creationId xmlns:a16="http://schemas.microsoft.com/office/drawing/2014/main" id="{217DCB85-3ED8-4C8E-B748-BA9780E106C9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85725</xdr:rowOff>
    </xdr:to>
    <xdr:sp macro="" textlink="">
      <xdr:nvSpPr>
        <xdr:cNvPr id="1037" name="AutoShape 13" descr="PNG Blue Butterfly Icon with Transparent Background | PNG Free [download]">
          <a:extLst>
            <a:ext uri="{FF2B5EF4-FFF2-40B4-BE49-F238E27FC236}">
              <a16:creationId xmlns:a16="http://schemas.microsoft.com/office/drawing/2014/main" id="{99FC413B-9CF4-487C-9787-36E30F3854CA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85725</xdr:rowOff>
    </xdr:to>
    <xdr:sp macro="" textlink="">
      <xdr:nvSpPr>
        <xdr:cNvPr id="1038" name="AutoShape 14" descr="Butterfly Icon PNG Images - CleanPNG">
          <a:extLst>
            <a:ext uri="{FF2B5EF4-FFF2-40B4-BE49-F238E27FC236}">
              <a16:creationId xmlns:a16="http://schemas.microsoft.com/office/drawing/2014/main" id="{BD219F2D-F27F-40DE-8463-8A60A12EE0F5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85725</xdr:rowOff>
    </xdr:to>
    <xdr:sp macro="" textlink="">
      <xdr:nvSpPr>
        <xdr:cNvPr id="1039" name="AutoShape 15" descr="Butterfly Icon PNG Images - CleanPNG">
          <a:extLst>
            <a:ext uri="{FF2B5EF4-FFF2-40B4-BE49-F238E27FC236}">
              <a16:creationId xmlns:a16="http://schemas.microsoft.com/office/drawing/2014/main" id="{A8049C4C-57C2-4109-AF40-EAA9DBDA1AB8}"/>
            </a:ext>
          </a:extLst>
        </xdr:cNvPr>
        <xdr:cNvSpPr>
          <a:spLocks noChangeAspect="1" noChangeArrowheads="1"/>
        </xdr:cNvSpPr>
      </xdr:nvSpPr>
      <xdr:spPr bwMode="auto">
        <a:xfrm>
          <a:off x="113633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85725</xdr:rowOff>
    </xdr:to>
    <xdr:sp macro="" textlink="">
      <xdr:nvSpPr>
        <xdr:cNvPr id="1040" name="AutoShape 16" descr="Butterfly Icon PNG Images - CleanPNG">
          <a:extLst>
            <a:ext uri="{FF2B5EF4-FFF2-40B4-BE49-F238E27FC236}">
              <a16:creationId xmlns:a16="http://schemas.microsoft.com/office/drawing/2014/main" id="{5E23A58F-8A38-47EE-BE3D-04F14CF6E757}"/>
            </a:ext>
          </a:extLst>
        </xdr:cNvPr>
        <xdr:cNvSpPr>
          <a:spLocks noChangeAspect="1" noChangeArrowheads="1"/>
        </xdr:cNvSpPr>
      </xdr:nvSpPr>
      <xdr:spPr bwMode="auto">
        <a:xfrm>
          <a:off x="113633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85725</xdr:rowOff>
    </xdr:to>
    <xdr:sp macro="" textlink="">
      <xdr:nvSpPr>
        <xdr:cNvPr id="1041" name="AutoShape 17" descr="Butterfly Icon PNG Images - CleanPNG">
          <a:extLst>
            <a:ext uri="{FF2B5EF4-FFF2-40B4-BE49-F238E27FC236}">
              <a16:creationId xmlns:a16="http://schemas.microsoft.com/office/drawing/2014/main" id="{B77944A9-202D-4F0C-AA1C-DAF0291ACB27}"/>
            </a:ext>
          </a:extLst>
        </xdr:cNvPr>
        <xdr:cNvSpPr>
          <a:spLocks noChangeAspect="1" noChangeArrowheads="1"/>
        </xdr:cNvSpPr>
      </xdr:nvSpPr>
      <xdr:spPr bwMode="auto">
        <a:xfrm>
          <a:off x="113633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85725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7BC5A4E1-8FE4-452A-BB2F-AAC3B23B0DCF}"/>
            </a:ext>
          </a:extLst>
        </xdr:cNvPr>
        <xdr:cNvSpPr>
          <a:spLocks noChangeAspect="1" noChangeArrowheads="1"/>
        </xdr:cNvSpPr>
      </xdr:nvSpPr>
      <xdr:spPr bwMode="auto">
        <a:xfrm>
          <a:off x="113633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85725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E97802B5-C749-4EDB-BD3B-44B94859869E}"/>
            </a:ext>
          </a:extLst>
        </xdr:cNvPr>
        <xdr:cNvSpPr>
          <a:spLocks noChangeAspect="1" noChangeArrowheads="1"/>
        </xdr:cNvSpPr>
      </xdr:nvSpPr>
      <xdr:spPr bwMode="auto">
        <a:xfrm>
          <a:off x="113633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363332</xdr:colOff>
      <xdr:row>4</xdr:row>
      <xdr:rowOff>73857</xdr:rowOff>
    </xdr:from>
    <xdr:to>
      <xdr:col>0</xdr:col>
      <xdr:colOff>1698830</xdr:colOff>
      <xdr:row>9</xdr:row>
      <xdr:rowOff>40575</xdr:rowOff>
    </xdr:to>
    <xdr:pic>
      <xdr:nvPicPr>
        <xdr:cNvPr id="23" name="Imagem 22" descr="Limão, Frutas, Fatias, Citrino">
          <a:extLst>
            <a:ext uri="{FF2B5EF4-FFF2-40B4-BE49-F238E27FC236}">
              <a16:creationId xmlns:a16="http://schemas.microsoft.com/office/drawing/2014/main" id="{4F7B9864-F302-4FD9-8E4F-287DFF8E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332" y="791407"/>
          <a:ext cx="1335498" cy="1065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1</xdr:row>
      <xdr:rowOff>94193</xdr:rowOff>
    </xdr:from>
    <xdr:to>
      <xdr:col>0</xdr:col>
      <xdr:colOff>1907381</xdr:colOff>
      <xdr:row>3</xdr:row>
      <xdr:rowOff>63501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522C413-2F16-40E4-AA3F-1A5C3CCA45DB}"/>
            </a:ext>
          </a:extLst>
        </xdr:cNvPr>
        <xdr:cNvSpPr/>
      </xdr:nvSpPr>
      <xdr:spPr>
        <a:xfrm>
          <a:off x="154782" y="190501"/>
          <a:ext cx="1752599" cy="4000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</a:rPr>
            <a:t>LEMON</a:t>
          </a:r>
          <a:r>
            <a:rPr lang="pt-BR" sz="1800" b="1">
              <a:latin typeface="Arial Black" panose="020B0A04020102020204" pitchFamily="34" charset="0"/>
            </a:rPr>
            <a:t> </a:t>
          </a:r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323850</xdr:colOff>
      <xdr:row>10</xdr:row>
      <xdr:rowOff>22356</xdr:rowOff>
    </xdr:from>
    <xdr:to>
      <xdr:col>0</xdr:col>
      <xdr:colOff>1738312</xdr:colOff>
      <xdr:row>12</xdr:row>
      <xdr:rowOff>3306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CB8AFE-44FF-49B0-95A6-0D42ADD84C37}"/>
            </a:ext>
          </a:extLst>
        </xdr:cNvPr>
        <xdr:cNvSpPr/>
      </xdr:nvSpPr>
      <xdr:spPr>
        <a:xfrm>
          <a:off x="323850" y="2057531"/>
          <a:ext cx="1414462" cy="4191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FFFF66">
                <a:lumMod val="97000"/>
              </a:srgbClr>
            </a:gs>
            <a:gs pos="76000">
              <a:srgbClr val="FFC000">
                <a:alpha val="92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323681</xdr:colOff>
      <xdr:row>15</xdr:row>
      <xdr:rowOff>168568</xdr:rowOff>
    </xdr:from>
    <xdr:to>
      <xdr:col>0</xdr:col>
      <xdr:colOff>1738481</xdr:colOff>
      <xdr:row>17</xdr:row>
      <xdr:rowOff>148018</xdr:rowOff>
    </xdr:to>
    <xdr:sp macro="" textlink="">
      <xdr:nvSpPr>
        <xdr:cNvPr id="30" name="Retângulo: Cantos Arredondados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E09E7B-FB16-4FAE-B052-B23E9197D688}"/>
            </a:ext>
          </a:extLst>
        </xdr:cNvPr>
        <xdr:cNvSpPr/>
      </xdr:nvSpPr>
      <xdr:spPr>
        <a:xfrm>
          <a:off x="323681" y="3295943"/>
          <a:ext cx="1414800" cy="4176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323681</xdr:colOff>
      <xdr:row>12</xdr:row>
      <xdr:rowOff>207337</xdr:rowOff>
    </xdr:from>
    <xdr:to>
      <xdr:col>0</xdr:col>
      <xdr:colOff>1738481</xdr:colOff>
      <xdr:row>14</xdr:row>
      <xdr:rowOff>186787</xdr:rowOff>
    </xdr:to>
    <xdr:sp macro="" textlink="">
      <xdr:nvSpPr>
        <xdr:cNvPr id="31" name="Retângulo: Cantos Arredondados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8293E9-D3AE-41E2-BA82-EE71811AC07D}"/>
            </a:ext>
          </a:extLst>
        </xdr:cNvPr>
        <xdr:cNvSpPr/>
      </xdr:nvSpPr>
      <xdr:spPr>
        <a:xfrm>
          <a:off x="323681" y="2677487"/>
          <a:ext cx="1414800" cy="4176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154781</xdr:colOff>
      <xdr:row>19</xdr:row>
      <xdr:rowOff>45509</xdr:rowOff>
    </xdr:from>
    <xdr:to>
      <xdr:col>0</xdr:col>
      <xdr:colOff>1905000</xdr:colOff>
      <xdr:row>21</xdr:row>
      <xdr:rowOff>7408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C38A76B-CF0B-41A6-AEF3-4EA94775C76C}"/>
            </a:ext>
          </a:extLst>
        </xdr:cNvPr>
        <xdr:cNvSpPr/>
      </xdr:nvSpPr>
      <xdr:spPr>
        <a:xfrm>
          <a:off x="154781" y="4010025"/>
          <a:ext cx="1750219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1">
              <a:solidFill>
                <a:schemeClr val="bg1">
                  <a:lumMod val="9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SISTEM BY KEMI | DIO </a:t>
          </a:r>
          <a:r>
            <a:rPr lang="pt-BR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b="1"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267890</xdr:colOff>
      <xdr:row>18</xdr:row>
      <xdr:rowOff>177424</xdr:rowOff>
    </xdr:from>
    <xdr:to>
      <xdr:col>0</xdr:col>
      <xdr:colOff>1791890</xdr:colOff>
      <xdr:row>19</xdr:row>
      <xdr:rowOff>6580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81C6302-E2B6-4A03-8D3F-9545BB08E25A}"/>
            </a:ext>
          </a:extLst>
        </xdr:cNvPr>
        <xdr:cNvCxnSpPr/>
      </xdr:nvCxnSpPr>
      <xdr:spPr>
        <a:xfrm flipV="1">
          <a:off x="267890" y="3962024"/>
          <a:ext cx="1524000" cy="9072"/>
        </a:xfrm>
        <a:prstGeom prst="line">
          <a:avLst/>
        </a:prstGeom>
        <a:ln w="9525">
          <a:solidFill>
            <a:srgbClr val="FFFF66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146050</xdr:rowOff>
    </xdr:from>
    <xdr:to>
      <xdr:col>0</xdr:col>
      <xdr:colOff>1203325</xdr:colOff>
      <xdr:row>22</xdr:row>
      <xdr:rowOff>98425</xdr:rowOff>
    </xdr:to>
    <xdr:pic>
      <xdr:nvPicPr>
        <xdr:cNvPr id="40" name="icon_linkedin" descr="Ligado Em, Ligado, Em, Ícon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CD7044-64D6-4B6F-8B0C-6E4565149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926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3752850</xdr:colOff>
      <xdr:row>18</xdr:row>
      <xdr:rowOff>152400</xdr:rowOff>
    </xdr:from>
    <xdr:to>
      <xdr:col>4</xdr:col>
      <xdr:colOff>9525</xdr:colOff>
      <xdr:row>20</xdr:row>
      <xdr:rowOff>152400</xdr:rowOff>
    </xdr:to>
    <xdr:sp macro="" textlink="">
      <xdr:nvSpPr>
        <xdr:cNvPr id="41" name="Retângulo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7843DB-485C-4B75-886B-0C1FE7BAAF15}"/>
            </a:ext>
          </a:extLst>
        </xdr:cNvPr>
        <xdr:cNvSpPr/>
      </xdr:nvSpPr>
      <xdr:spPr>
        <a:xfrm>
          <a:off x="6400800" y="3933825"/>
          <a:ext cx="2838450" cy="361950"/>
        </a:xfrm>
        <a:prstGeom prst="rect">
          <a:avLst/>
        </a:prstGeom>
        <a:solidFill>
          <a:srgbClr val="FFCC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PRÓXIMO</a:t>
          </a:r>
          <a:r>
            <a:rPr lang="pt-BR" sz="1100" b="1" baseline="0">
              <a:solidFill>
                <a:sysClr val="windowText" lastClr="000000"/>
              </a:solidFill>
            </a:rPr>
            <a:t> -&gt;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95250</xdr:rowOff>
    </xdr:to>
    <xdr:sp macro="" textlink="">
      <xdr:nvSpPr>
        <xdr:cNvPr id="2" name="AutoShape 1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1D8FDFAF-D7A8-4634-94F6-2F0E28D99CD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123825</xdr:rowOff>
    </xdr:to>
    <xdr:sp macro="" textlink="">
      <xdr:nvSpPr>
        <xdr:cNvPr id="3" name="AutoShape 3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66924250-1E65-42B8-A7FE-E1A4974D0256}"/>
            </a:ext>
          </a:extLst>
        </xdr:cNvPr>
        <xdr:cNvSpPr>
          <a:spLocks noChangeAspect="1" noChangeArrowheads="1"/>
        </xdr:cNvSpPr>
      </xdr:nvSpPr>
      <xdr:spPr bwMode="auto">
        <a:xfrm>
          <a:off x="882015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123825</xdr:rowOff>
    </xdr:to>
    <xdr:sp macro="" textlink="">
      <xdr:nvSpPr>
        <xdr:cNvPr id="4" name="AutoShape 6" descr="Butterfly Logo PNG Vector (EPS) Free Download">
          <a:extLst>
            <a:ext uri="{FF2B5EF4-FFF2-40B4-BE49-F238E27FC236}">
              <a16:creationId xmlns:a16="http://schemas.microsoft.com/office/drawing/2014/main" id="{BB326B50-6434-42A9-A967-4C267E494E78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123825</xdr:rowOff>
    </xdr:to>
    <xdr:sp macro="" textlink="">
      <xdr:nvSpPr>
        <xdr:cNvPr id="5" name="AutoShape 7" descr="Butterfly Logo PNG Vector (EPS) Free Download">
          <a:extLst>
            <a:ext uri="{FF2B5EF4-FFF2-40B4-BE49-F238E27FC236}">
              <a16:creationId xmlns:a16="http://schemas.microsoft.com/office/drawing/2014/main" id="{0F283C19-94D1-42ED-A2E6-311792A39862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123825</xdr:rowOff>
    </xdr:to>
    <xdr:sp macro="" textlink="">
      <xdr:nvSpPr>
        <xdr:cNvPr id="6" name="AutoShape 8" descr="Butterfly Logo PNG Vector">
          <a:extLst>
            <a:ext uri="{FF2B5EF4-FFF2-40B4-BE49-F238E27FC236}">
              <a16:creationId xmlns:a16="http://schemas.microsoft.com/office/drawing/2014/main" id="{B17CE32C-34A1-4A94-900F-F5D774EA2682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123825</xdr:rowOff>
    </xdr:to>
    <xdr:sp macro="" textlink="">
      <xdr:nvSpPr>
        <xdr:cNvPr id="7" name="AutoShape 9" descr="Butterfly Logo PNG Vector">
          <a:extLst>
            <a:ext uri="{FF2B5EF4-FFF2-40B4-BE49-F238E27FC236}">
              <a16:creationId xmlns:a16="http://schemas.microsoft.com/office/drawing/2014/main" id="{48E4FC21-71CE-4905-936C-0FE0E637449D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95250</xdr:rowOff>
    </xdr:to>
    <xdr:sp macro="" textlink="">
      <xdr:nvSpPr>
        <xdr:cNvPr id="8" name="AutoShape 10" descr="Butterfly Logo PNG Vector">
          <a:extLst>
            <a:ext uri="{FF2B5EF4-FFF2-40B4-BE49-F238E27FC236}">
              <a16:creationId xmlns:a16="http://schemas.microsoft.com/office/drawing/2014/main" id="{45C9856A-C194-4A80-9149-D8F364E87BF8}"/>
            </a:ext>
          </a:extLst>
        </xdr:cNvPr>
        <xdr:cNvSpPr>
          <a:spLocks noChangeAspect="1" noChangeArrowheads="1"/>
        </xdr:cNvSpPr>
      </xdr:nvSpPr>
      <xdr:spPr bwMode="auto">
        <a:xfrm>
          <a:off x="4019550" y="16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9" name="AutoShape 12" descr="PNG Blue Butterfly Icon with Transparent Background | PNG Free [download]">
          <a:extLst>
            <a:ext uri="{FF2B5EF4-FFF2-40B4-BE49-F238E27FC236}">
              <a16:creationId xmlns:a16="http://schemas.microsoft.com/office/drawing/2014/main" id="{ACDE44EB-D7C5-45D5-8A12-6DA64970385B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10" name="AutoShape 13" descr="PNG Blue Butterfly Icon with Transparent Background | PNG Free [download]">
          <a:extLst>
            <a:ext uri="{FF2B5EF4-FFF2-40B4-BE49-F238E27FC236}">
              <a16:creationId xmlns:a16="http://schemas.microsoft.com/office/drawing/2014/main" id="{5A95DFDD-7127-4AB7-885A-30085D696BB8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11" name="AutoShape 14" descr="Butterfly Icon PNG Images - CleanPNG">
          <a:extLst>
            <a:ext uri="{FF2B5EF4-FFF2-40B4-BE49-F238E27FC236}">
              <a16:creationId xmlns:a16="http://schemas.microsoft.com/office/drawing/2014/main" id="{B8488672-492B-4C62-9642-40A0B4713985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2" name="AutoShape 15" descr="Butterfly Icon PNG Images - CleanPNG">
          <a:extLst>
            <a:ext uri="{FF2B5EF4-FFF2-40B4-BE49-F238E27FC236}">
              <a16:creationId xmlns:a16="http://schemas.microsoft.com/office/drawing/2014/main" id="{D308AE63-DAAF-4095-B61F-8E45BE32915D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3" name="AutoShape 16" descr="Butterfly Icon PNG Images - CleanPNG">
          <a:extLst>
            <a:ext uri="{FF2B5EF4-FFF2-40B4-BE49-F238E27FC236}">
              <a16:creationId xmlns:a16="http://schemas.microsoft.com/office/drawing/2014/main" id="{8327E5A2-F5B6-4C0D-84C5-13DB5CDA348D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4" name="AutoShape 17" descr="Butterfly Icon PNG Images - CleanPNG">
          <a:extLst>
            <a:ext uri="{FF2B5EF4-FFF2-40B4-BE49-F238E27FC236}">
              <a16:creationId xmlns:a16="http://schemas.microsoft.com/office/drawing/2014/main" id="{1AC41D8F-4310-4E16-ABBE-36A67A050D05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5" name="AutoShape 18">
          <a:extLst>
            <a:ext uri="{FF2B5EF4-FFF2-40B4-BE49-F238E27FC236}">
              <a16:creationId xmlns:a16="http://schemas.microsoft.com/office/drawing/2014/main" id="{74F54F33-973A-497D-9766-A933F8216F85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21F752AD-1040-4B63-82FE-8F8A5BEC0851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363332</xdr:colOff>
      <xdr:row>4</xdr:row>
      <xdr:rowOff>832</xdr:rowOff>
    </xdr:from>
    <xdr:to>
      <xdr:col>0</xdr:col>
      <xdr:colOff>1698830</xdr:colOff>
      <xdr:row>9</xdr:row>
      <xdr:rowOff>85025</xdr:rowOff>
    </xdr:to>
    <xdr:pic>
      <xdr:nvPicPr>
        <xdr:cNvPr id="17" name="Imagem 16" descr="Limão, Frutas, Fatias, Citrino">
          <a:extLst>
            <a:ext uri="{FF2B5EF4-FFF2-40B4-BE49-F238E27FC236}">
              <a16:creationId xmlns:a16="http://schemas.microsoft.com/office/drawing/2014/main" id="{FBB87F09-8B38-49FC-BC77-0C726BAF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332" y="791407"/>
          <a:ext cx="1335498" cy="1065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1</xdr:row>
      <xdr:rowOff>9526</xdr:rowOff>
    </xdr:from>
    <xdr:to>
      <xdr:col>0</xdr:col>
      <xdr:colOff>1907381</xdr:colOff>
      <xdr:row>2</xdr:row>
      <xdr:rowOff>171451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E709C4F0-126A-4345-B1D8-6749AF3B5D81}"/>
            </a:ext>
          </a:extLst>
        </xdr:cNvPr>
        <xdr:cNvSpPr/>
      </xdr:nvSpPr>
      <xdr:spPr>
        <a:xfrm>
          <a:off x="154782" y="190501"/>
          <a:ext cx="1752599" cy="4000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</a:rPr>
            <a:t>LEMON</a:t>
          </a:r>
          <a:r>
            <a:rPr lang="pt-BR" sz="1800" b="1">
              <a:latin typeface="Arial Black" panose="020B0A04020102020204" pitchFamily="34" charset="0"/>
            </a:rPr>
            <a:t> </a:t>
          </a:r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323850</xdr:colOff>
      <xdr:row>10</xdr:row>
      <xdr:rowOff>76331</xdr:rowOff>
    </xdr:from>
    <xdr:to>
      <xdr:col>0</xdr:col>
      <xdr:colOff>1738312</xdr:colOff>
      <xdr:row>12</xdr:row>
      <xdr:rowOff>104906</xdr:rowOff>
    </xdr:to>
    <xdr:sp macro="" textlink="">
      <xdr:nvSpPr>
        <xdr:cNvPr id="19" name="Retângulo: Cantos Arredondados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843619-AD94-4491-A27F-1BD841246852}"/>
            </a:ext>
          </a:extLst>
        </xdr:cNvPr>
        <xdr:cNvSpPr/>
      </xdr:nvSpPr>
      <xdr:spPr>
        <a:xfrm>
          <a:off x="323850" y="2057531"/>
          <a:ext cx="1414462" cy="419100"/>
        </a:xfrm>
        <a:prstGeom prst="roundRect">
          <a:avLst>
            <a:gd name="adj" fmla="val 50000"/>
          </a:avLst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323681</xdr:colOff>
      <xdr:row>16</xdr:row>
      <xdr:rowOff>114593</xdr:rowOff>
    </xdr:from>
    <xdr:to>
      <xdr:col>0</xdr:col>
      <xdr:colOff>1738481</xdr:colOff>
      <xdr:row>18</xdr:row>
      <xdr:rowOff>170243</xdr:rowOff>
    </xdr:to>
    <xdr:sp macro="" textlink="">
      <xdr:nvSpPr>
        <xdr:cNvPr id="20" name="Retângulo: Cantos Arredondados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35B09F-5460-44E0-9FC8-FB879C80DFCE}"/>
            </a:ext>
          </a:extLst>
        </xdr:cNvPr>
        <xdr:cNvSpPr/>
      </xdr:nvSpPr>
      <xdr:spPr>
        <a:xfrm>
          <a:off x="323681" y="3295943"/>
          <a:ext cx="1414800" cy="417600"/>
        </a:xfrm>
        <a:prstGeom prst="roundRect">
          <a:avLst>
            <a:gd name="adj" fmla="val 50000"/>
          </a:avLst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323681</xdr:colOff>
      <xdr:row>13</xdr:row>
      <xdr:rowOff>124787</xdr:rowOff>
    </xdr:from>
    <xdr:to>
      <xdr:col>0</xdr:col>
      <xdr:colOff>1738481</xdr:colOff>
      <xdr:row>15</xdr:row>
      <xdr:rowOff>123287</xdr:rowOff>
    </xdr:to>
    <xdr:sp macro="" textlink="">
      <xdr:nvSpPr>
        <xdr:cNvPr id="21" name="Retângulo: Cantos Arredondados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012CB2-8DCD-4F2E-99EF-B62B82A6A348}"/>
            </a:ext>
          </a:extLst>
        </xdr:cNvPr>
        <xdr:cNvSpPr/>
      </xdr:nvSpPr>
      <xdr:spPr>
        <a:xfrm>
          <a:off x="323681" y="2677487"/>
          <a:ext cx="1414800" cy="4176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FFFF66">
                <a:lumMod val="97000"/>
              </a:srgbClr>
            </a:gs>
            <a:gs pos="76000">
              <a:srgbClr val="FFC000">
                <a:alpha val="92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145256</xdr:colOff>
      <xdr:row>19</xdr:row>
      <xdr:rowOff>47625</xdr:rowOff>
    </xdr:from>
    <xdr:to>
      <xdr:col>0</xdr:col>
      <xdr:colOff>1895475</xdr:colOff>
      <xdr:row>20</xdr:row>
      <xdr:rowOff>161925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7CF31FE4-7F29-45B1-B45D-2CE7152B02D0}"/>
            </a:ext>
          </a:extLst>
        </xdr:cNvPr>
        <xdr:cNvSpPr/>
      </xdr:nvSpPr>
      <xdr:spPr>
        <a:xfrm>
          <a:off x="145256" y="3800475"/>
          <a:ext cx="1750219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1">
              <a:solidFill>
                <a:schemeClr val="bg1">
                  <a:lumMod val="9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SISTEM BY KEMI | DIO </a:t>
          </a:r>
          <a:r>
            <a:rPr lang="pt-BR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b="1"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>
    <xdr:from>
      <xdr:col>0</xdr:col>
      <xdr:colOff>221456</xdr:colOff>
      <xdr:row>18</xdr:row>
      <xdr:rowOff>209174</xdr:rowOff>
    </xdr:from>
    <xdr:to>
      <xdr:col>0</xdr:col>
      <xdr:colOff>1745456</xdr:colOff>
      <xdr:row>19</xdr:row>
      <xdr:rowOff>8696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E4EAA374-6F17-44A6-B6F2-CE47FFC20D8D}"/>
            </a:ext>
          </a:extLst>
        </xdr:cNvPr>
        <xdr:cNvCxnSpPr/>
      </xdr:nvCxnSpPr>
      <xdr:spPr>
        <a:xfrm flipV="1">
          <a:off x="221456" y="3752474"/>
          <a:ext cx="1524000" cy="9072"/>
        </a:xfrm>
        <a:prstGeom prst="line">
          <a:avLst/>
        </a:prstGeom>
        <a:ln w="9525">
          <a:solidFill>
            <a:srgbClr val="FFFF66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879475</xdr:colOff>
      <xdr:row>20</xdr:row>
      <xdr:rowOff>120650</xdr:rowOff>
    </xdr:from>
    <xdr:to>
      <xdr:col>0</xdr:col>
      <xdr:colOff>1193800</xdr:colOff>
      <xdr:row>22</xdr:row>
      <xdr:rowOff>44450</xdr:rowOff>
    </xdr:to>
    <xdr:pic>
      <xdr:nvPicPr>
        <xdr:cNvPr id="25" name="icon_linkedin" descr="Ligado Em, Ligado, Em, Ícon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A6451E-3A23-4D97-BCC5-A5F82A53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" y="40830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3771900</xdr:colOff>
      <xdr:row>22</xdr:row>
      <xdr:rowOff>0</xdr:rowOff>
    </xdr:from>
    <xdr:to>
      <xdr:col>4</xdr:col>
      <xdr:colOff>20139</xdr:colOff>
      <xdr:row>24</xdr:row>
      <xdr:rowOff>0</xdr:rowOff>
    </xdr:to>
    <xdr:sp macro="" textlink="">
      <xdr:nvSpPr>
        <xdr:cNvPr id="26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CC3E58-FA7E-421E-87CD-7835AAE1C099}"/>
            </a:ext>
          </a:extLst>
        </xdr:cNvPr>
        <xdr:cNvSpPr/>
      </xdr:nvSpPr>
      <xdr:spPr>
        <a:xfrm>
          <a:off x="6419850" y="4352925"/>
          <a:ext cx="3811089" cy="361950"/>
        </a:xfrm>
        <a:prstGeom prst="rect">
          <a:avLst/>
        </a:prstGeom>
        <a:solidFill>
          <a:srgbClr val="FFCC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PRÓXIMO</a:t>
          </a:r>
          <a:r>
            <a:rPr lang="pt-BR" sz="1100" b="1" baseline="0">
              <a:solidFill>
                <a:sysClr val="windowText" lastClr="000000"/>
              </a:solidFill>
            </a:rPr>
            <a:t> -&gt;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0</xdr:colOff>
      <xdr:row>22</xdr:row>
      <xdr:rowOff>0</xdr:rowOff>
    </xdr:from>
    <xdr:to>
      <xdr:col>2</xdr:col>
      <xdr:colOff>3771900</xdr:colOff>
      <xdr:row>24</xdr:row>
      <xdr:rowOff>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BD4E7D-AAFE-4F4B-9AC0-5B73738E5E8F}"/>
            </a:ext>
          </a:extLst>
        </xdr:cNvPr>
        <xdr:cNvSpPr/>
      </xdr:nvSpPr>
      <xdr:spPr>
        <a:xfrm>
          <a:off x="2647950" y="4352925"/>
          <a:ext cx="3771900" cy="361950"/>
        </a:xfrm>
        <a:prstGeom prst="rect">
          <a:avLst/>
        </a:prstGeom>
        <a:solidFill>
          <a:srgbClr val="FFCC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ysClr val="windowText" lastClr="000000"/>
              </a:solidFill>
            </a:rPr>
            <a:t>&lt;- ANTERIOR 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95250</xdr:rowOff>
    </xdr:to>
    <xdr:sp macro="" textlink="">
      <xdr:nvSpPr>
        <xdr:cNvPr id="2" name="AutoShape 1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337D23D9-A20C-49B8-B127-00DBD1AD46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95250</xdr:rowOff>
    </xdr:to>
    <xdr:sp macro="" textlink="">
      <xdr:nvSpPr>
        <xdr:cNvPr id="3" name="AutoShape 3" descr="Butterfly Icon Free Vector Illustration Material, Butterfly, Yellow  Butterfly, Icon PNG Image Image And Picture For Free Download - Lovepik">
          <a:extLst>
            <a:ext uri="{FF2B5EF4-FFF2-40B4-BE49-F238E27FC236}">
              <a16:creationId xmlns:a16="http://schemas.microsoft.com/office/drawing/2014/main" id="{9B3F5BA3-F13E-4C53-A8A7-8D80300737D2}"/>
            </a:ext>
          </a:extLst>
        </xdr:cNvPr>
        <xdr:cNvSpPr>
          <a:spLocks noChangeAspect="1" noChangeArrowheads="1"/>
        </xdr:cNvSpPr>
      </xdr:nvSpPr>
      <xdr:spPr bwMode="auto">
        <a:xfrm>
          <a:off x="882015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95250</xdr:rowOff>
    </xdr:to>
    <xdr:sp macro="" textlink="">
      <xdr:nvSpPr>
        <xdr:cNvPr id="4" name="AutoShape 6" descr="Butterfly Logo PNG Vector (EPS) Free Download">
          <a:extLst>
            <a:ext uri="{FF2B5EF4-FFF2-40B4-BE49-F238E27FC236}">
              <a16:creationId xmlns:a16="http://schemas.microsoft.com/office/drawing/2014/main" id="{B3F85931-E56C-416E-90F4-4F3D3F6EDA29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95250</xdr:rowOff>
    </xdr:to>
    <xdr:sp macro="" textlink="">
      <xdr:nvSpPr>
        <xdr:cNvPr id="5" name="AutoShape 7" descr="Butterfly Logo PNG Vector (EPS) Free Download">
          <a:extLst>
            <a:ext uri="{FF2B5EF4-FFF2-40B4-BE49-F238E27FC236}">
              <a16:creationId xmlns:a16="http://schemas.microsoft.com/office/drawing/2014/main" id="{C4692D54-3D9D-4054-85A9-80E0B6C9E21D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95250</xdr:rowOff>
    </xdr:to>
    <xdr:sp macro="" textlink="">
      <xdr:nvSpPr>
        <xdr:cNvPr id="6" name="AutoShape 8" descr="Butterfly Logo PNG Vector">
          <a:extLst>
            <a:ext uri="{FF2B5EF4-FFF2-40B4-BE49-F238E27FC236}">
              <a16:creationId xmlns:a16="http://schemas.microsoft.com/office/drawing/2014/main" id="{A6E972A9-2014-4E31-B483-02D175F638AC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95250</xdr:rowOff>
    </xdr:to>
    <xdr:sp macro="" textlink="">
      <xdr:nvSpPr>
        <xdr:cNvPr id="7" name="AutoShape 9" descr="Butterfly Logo PNG Vector">
          <a:extLst>
            <a:ext uri="{FF2B5EF4-FFF2-40B4-BE49-F238E27FC236}">
              <a16:creationId xmlns:a16="http://schemas.microsoft.com/office/drawing/2014/main" id="{941B24C4-9909-485B-889D-C18E1BD795B6}"/>
            </a:ext>
          </a:extLst>
        </xdr:cNvPr>
        <xdr:cNvSpPr>
          <a:spLocks noChangeAspect="1" noChangeArrowheads="1"/>
        </xdr:cNvSpPr>
      </xdr:nvSpPr>
      <xdr:spPr bwMode="auto">
        <a:xfrm>
          <a:off x="607695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95250</xdr:rowOff>
    </xdr:to>
    <xdr:sp macro="" textlink="">
      <xdr:nvSpPr>
        <xdr:cNvPr id="8" name="AutoShape 10" descr="Butterfly Logo PNG Vector">
          <a:extLst>
            <a:ext uri="{FF2B5EF4-FFF2-40B4-BE49-F238E27FC236}">
              <a16:creationId xmlns:a16="http://schemas.microsoft.com/office/drawing/2014/main" id="{10D96ACE-5006-4CC9-AABD-9EDC60201C3C}"/>
            </a:ext>
          </a:extLst>
        </xdr:cNvPr>
        <xdr:cNvSpPr>
          <a:spLocks noChangeAspect="1" noChangeArrowheads="1"/>
        </xdr:cNvSpPr>
      </xdr:nvSpPr>
      <xdr:spPr bwMode="auto">
        <a:xfrm>
          <a:off x="4019550" y="16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9" name="AutoShape 12" descr="PNG Blue Butterfly Icon with Transparent Background | PNG Free [download]">
          <a:extLst>
            <a:ext uri="{FF2B5EF4-FFF2-40B4-BE49-F238E27FC236}">
              <a16:creationId xmlns:a16="http://schemas.microsoft.com/office/drawing/2014/main" id="{C9B3957A-F415-4926-B4CE-E077A7CAC89B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10" name="AutoShape 13" descr="PNG Blue Butterfly Icon with Transparent Background | PNG Free [download]">
          <a:extLst>
            <a:ext uri="{FF2B5EF4-FFF2-40B4-BE49-F238E27FC236}">
              <a16:creationId xmlns:a16="http://schemas.microsoft.com/office/drawing/2014/main" id="{9A663D20-3329-45C8-A145-C2921CCBB766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95250</xdr:rowOff>
    </xdr:to>
    <xdr:sp macro="" textlink="">
      <xdr:nvSpPr>
        <xdr:cNvPr id="11" name="AutoShape 14" descr="Butterfly Icon PNG Images - CleanPNG">
          <a:extLst>
            <a:ext uri="{FF2B5EF4-FFF2-40B4-BE49-F238E27FC236}">
              <a16:creationId xmlns:a16="http://schemas.microsoft.com/office/drawing/2014/main" id="{64CAEC97-177E-4263-AAD1-0F21BF8F1F34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2" name="AutoShape 15" descr="Butterfly Icon PNG Images - CleanPNG">
          <a:extLst>
            <a:ext uri="{FF2B5EF4-FFF2-40B4-BE49-F238E27FC236}">
              <a16:creationId xmlns:a16="http://schemas.microsoft.com/office/drawing/2014/main" id="{833900A5-13BF-44D9-9A12-B59255A3DC47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3" name="AutoShape 16" descr="Butterfly Icon PNG Images - CleanPNG">
          <a:extLst>
            <a:ext uri="{FF2B5EF4-FFF2-40B4-BE49-F238E27FC236}">
              <a16:creationId xmlns:a16="http://schemas.microsoft.com/office/drawing/2014/main" id="{65D04138-664A-4DF0-97F8-D11E18F5AAF9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4" name="AutoShape 17" descr="Butterfly Icon PNG Images - CleanPNG">
          <a:extLst>
            <a:ext uri="{FF2B5EF4-FFF2-40B4-BE49-F238E27FC236}">
              <a16:creationId xmlns:a16="http://schemas.microsoft.com/office/drawing/2014/main" id="{814EDB09-5DA5-42CD-8F83-12EEB0492F0E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5" name="AutoShape 18">
          <a:extLst>
            <a:ext uri="{FF2B5EF4-FFF2-40B4-BE49-F238E27FC236}">
              <a16:creationId xmlns:a16="http://schemas.microsoft.com/office/drawing/2014/main" id="{3183AC1D-F9B1-4F72-A4DF-92421E9D3CA8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95250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1CE5EE7C-F877-448B-8453-7B166B6577D8}"/>
            </a:ext>
          </a:extLst>
        </xdr:cNvPr>
        <xdr:cNvSpPr>
          <a:spLocks noChangeAspect="1" noChangeArrowheads="1"/>
        </xdr:cNvSpPr>
      </xdr:nvSpPr>
      <xdr:spPr bwMode="auto">
        <a:xfrm>
          <a:off x="1156335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363332</xdr:colOff>
      <xdr:row>4</xdr:row>
      <xdr:rowOff>832</xdr:rowOff>
    </xdr:from>
    <xdr:to>
      <xdr:col>0</xdr:col>
      <xdr:colOff>1698830</xdr:colOff>
      <xdr:row>9</xdr:row>
      <xdr:rowOff>65975</xdr:rowOff>
    </xdr:to>
    <xdr:pic>
      <xdr:nvPicPr>
        <xdr:cNvPr id="17" name="Imagem 16" descr="Limão, Frutas, Fatias, Citrino">
          <a:extLst>
            <a:ext uri="{FF2B5EF4-FFF2-40B4-BE49-F238E27FC236}">
              <a16:creationId xmlns:a16="http://schemas.microsoft.com/office/drawing/2014/main" id="{D4220C0E-A1DA-43FE-BBC4-FB495E93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332" y="791407"/>
          <a:ext cx="1335498" cy="1065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1</xdr:row>
      <xdr:rowOff>9526</xdr:rowOff>
    </xdr:from>
    <xdr:to>
      <xdr:col>0</xdr:col>
      <xdr:colOff>1907381</xdr:colOff>
      <xdr:row>2</xdr:row>
      <xdr:rowOff>171451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492EA0B1-CE3D-44AF-8C0C-74973CA3F8F2}"/>
            </a:ext>
          </a:extLst>
        </xdr:cNvPr>
        <xdr:cNvSpPr/>
      </xdr:nvSpPr>
      <xdr:spPr>
        <a:xfrm>
          <a:off x="154782" y="190501"/>
          <a:ext cx="1752599" cy="4000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</a:rPr>
            <a:t>LEMON</a:t>
          </a:r>
          <a:r>
            <a:rPr lang="pt-BR" sz="1800" b="1">
              <a:latin typeface="Arial Black" panose="020B0A04020102020204" pitchFamily="34" charset="0"/>
            </a:rPr>
            <a:t> </a:t>
          </a:r>
          <a:r>
            <a:rPr lang="pt-BR" sz="1800" b="1">
              <a:gradFill flip="none" rotWithShape="1">
                <a:gsLst>
                  <a:gs pos="0">
                    <a:schemeClr val="bg1"/>
                  </a:gs>
                  <a:gs pos="38000">
                    <a:srgbClr val="FFFF66"/>
                  </a:gs>
                  <a:gs pos="100000">
                    <a:srgbClr val="0E1317"/>
                  </a:gs>
                  <a:gs pos="74000">
                    <a:srgbClr val="FFC000"/>
                  </a:gs>
                </a:gsLst>
                <a:lin ang="5400000" scaled="0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323850</xdr:colOff>
      <xdr:row>10</xdr:row>
      <xdr:rowOff>57281</xdr:rowOff>
    </xdr:from>
    <xdr:to>
      <xdr:col>0</xdr:col>
      <xdr:colOff>1738312</xdr:colOff>
      <xdr:row>12</xdr:row>
      <xdr:rowOff>57281</xdr:rowOff>
    </xdr:to>
    <xdr:sp macro="" textlink="">
      <xdr:nvSpPr>
        <xdr:cNvPr id="19" name="Retângulo: Cantos Arredondados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919641-DEEB-4B05-A6C3-09FC397BEF8F}"/>
            </a:ext>
          </a:extLst>
        </xdr:cNvPr>
        <xdr:cNvSpPr/>
      </xdr:nvSpPr>
      <xdr:spPr>
        <a:xfrm>
          <a:off x="323850" y="2057531"/>
          <a:ext cx="1414462" cy="419100"/>
        </a:xfrm>
        <a:prstGeom prst="roundRect">
          <a:avLst>
            <a:gd name="adj" fmla="val 50000"/>
          </a:avLst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323681</xdr:colOff>
      <xdr:row>16</xdr:row>
      <xdr:rowOff>38393</xdr:rowOff>
    </xdr:from>
    <xdr:to>
      <xdr:col>0</xdr:col>
      <xdr:colOff>1738481</xdr:colOff>
      <xdr:row>18</xdr:row>
      <xdr:rowOff>36893</xdr:rowOff>
    </xdr:to>
    <xdr:sp macro="" textlink="">
      <xdr:nvSpPr>
        <xdr:cNvPr id="20" name="Retângulo: Cantos Arredondados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0F2443-00AB-43C6-B70A-4108ABAA942D}"/>
            </a:ext>
          </a:extLst>
        </xdr:cNvPr>
        <xdr:cNvSpPr/>
      </xdr:nvSpPr>
      <xdr:spPr>
        <a:xfrm>
          <a:off x="323681" y="3295943"/>
          <a:ext cx="1414800" cy="4176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FFFF66">
                <a:lumMod val="97000"/>
              </a:srgbClr>
            </a:gs>
            <a:gs pos="76000">
              <a:srgbClr val="FFC000">
                <a:alpha val="92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323681</xdr:colOff>
      <xdr:row>13</xdr:row>
      <xdr:rowOff>48587</xdr:rowOff>
    </xdr:from>
    <xdr:to>
      <xdr:col>0</xdr:col>
      <xdr:colOff>1738481</xdr:colOff>
      <xdr:row>15</xdr:row>
      <xdr:rowOff>47087</xdr:rowOff>
    </xdr:to>
    <xdr:sp macro="" textlink="">
      <xdr:nvSpPr>
        <xdr:cNvPr id="21" name="Retângulo: Cantos Arredondados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9B701A-9997-4EEA-B494-6FC9E3CF061C}"/>
            </a:ext>
          </a:extLst>
        </xdr:cNvPr>
        <xdr:cNvSpPr/>
      </xdr:nvSpPr>
      <xdr:spPr>
        <a:xfrm>
          <a:off x="323681" y="2677487"/>
          <a:ext cx="1414800" cy="417600"/>
        </a:xfrm>
        <a:prstGeom prst="roundRect">
          <a:avLst>
            <a:gd name="adj" fmla="val 50000"/>
          </a:avLst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154781</xdr:colOff>
      <xdr:row>19</xdr:row>
      <xdr:rowOff>133350</xdr:rowOff>
    </xdr:from>
    <xdr:to>
      <xdr:col>0</xdr:col>
      <xdr:colOff>1905000</xdr:colOff>
      <xdr:row>21</xdr:row>
      <xdr:rowOff>38100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3AD51516-8EE2-46A1-B00C-1804EA0B65A1}"/>
            </a:ext>
          </a:extLst>
        </xdr:cNvPr>
        <xdr:cNvSpPr/>
      </xdr:nvSpPr>
      <xdr:spPr>
        <a:xfrm>
          <a:off x="154781" y="4019550"/>
          <a:ext cx="1750219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1">
              <a:solidFill>
                <a:schemeClr val="bg1">
                  <a:lumMod val="9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SISTEM BY KEMI | DIO </a:t>
          </a:r>
          <a:r>
            <a:rPr lang="pt-BR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b="1"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267890</xdr:colOff>
      <xdr:row>19</xdr:row>
      <xdr:rowOff>85349</xdr:rowOff>
    </xdr:from>
    <xdr:to>
      <xdr:col>0</xdr:col>
      <xdr:colOff>1791890</xdr:colOff>
      <xdr:row>19</xdr:row>
      <xdr:rowOff>94421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3C61635D-3E1B-4157-86D3-FEA82E252D0D}"/>
            </a:ext>
          </a:extLst>
        </xdr:cNvPr>
        <xdr:cNvCxnSpPr/>
      </xdr:nvCxnSpPr>
      <xdr:spPr>
        <a:xfrm flipV="1">
          <a:off x="267890" y="3971549"/>
          <a:ext cx="1524000" cy="9072"/>
        </a:xfrm>
        <a:prstGeom prst="line">
          <a:avLst/>
        </a:prstGeom>
        <a:ln w="9525">
          <a:solidFill>
            <a:srgbClr val="FFFF66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196850</xdr:rowOff>
    </xdr:from>
    <xdr:to>
      <xdr:col>0</xdr:col>
      <xdr:colOff>1203325</xdr:colOff>
      <xdr:row>22</xdr:row>
      <xdr:rowOff>92075</xdr:rowOff>
    </xdr:to>
    <xdr:pic>
      <xdr:nvPicPr>
        <xdr:cNvPr id="25" name="icon_linkedin" descr="Ligado Em, Ligado, Em, Ícon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ADC3E8-3D4B-4AF3-AFAF-8B0D8F540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926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3</xdr:col>
      <xdr:colOff>85725</xdr:colOff>
      <xdr:row>4</xdr:row>
      <xdr:rowOff>161925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A0F0F5-8D01-4A7D-82CF-38F900387C10}"/>
            </a:ext>
          </a:extLst>
        </xdr:cNvPr>
        <xdr:cNvSpPr/>
      </xdr:nvSpPr>
      <xdr:spPr>
        <a:xfrm>
          <a:off x="2647950" y="790575"/>
          <a:ext cx="1190625" cy="161925"/>
        </a:xfrm>
        <a:prstGeom prst="rect">
          <a:avLst/>
        </a:prstGeom>
        <a:solidFill>
          <a:srgbClr val="FFC0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baseline="0">
              <a:solidFill>
                <a:sysClr val="windowText" lastClr="000000"/>
              </a:solidFill>
            </a:rPr>
            <a:t>&lt;- ANTERIOR 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8</xdr:col>
      <xdr:colOff>0</xdr:colOff>
      <xdr:row>9</xdr:row>
      <xdr:rowOff>0</xdr:rowOff>
    </xdr:from>
    <xdr:ext cx="304800" cy="304800"/>
    <xdr:sp macro="" textlink="">
      <xdr:nvSpPr>
        <xdr:cNvPr id="27" name="AutoShape 10" descr="Butterfly Logo PNG Vector">
          <a:extLst>
            <a:ext uri="{FF2B5EF4-FFF2-40B4-BE49-F238E27FC236}">
              <a16:creationId xmlns:a16="http://schemas.microsoft.com/office/drawing/2014/main" id="{451E47EA-5753-4337-A143-1CB4C64D5D70}"/>
            </a:ext>
          </a:extLst>
        </xdr:cNvPr>
        <xdr:cNvSpPr>
          <a:spLocks noChangeAspect="1" noChangeArrowheads="1"/>
        </xdr:cNvSpPr>
      </xdr:nvSpPr>
      <xdr:spPr bwMode="auto">
        <a:xfrm>
          <a:off x="4857750" y="17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8</xdr:col>
      <xdr:colOff>9525</xdr:colOff>
      <xdr:row>3</xdr:row>
      <xdr:rowOff>104775</xdr:rowOff>
    </xdr:from>
    <xdr:to>
      <xdr:col>9</xdr:col>
      <xdr:colOff>9525</xdr:colOff>
      <xdr:row>4</xdr:row>
      <xdr:rowOff>152400</xdr:rowOff>
    </xdr:to>
    <xdr:sp macro="" textlink="">
      <xdr:nvSpPr>
        <xdr:cNvPr id="28" name="Retângulo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0F8C42-CA8F-4C5B-A83E-C962E9737C0E}"/>
            </a:ext>
          </a:extLst>
        </xdr:cNvPr>
        <xdr:cNvSpPr/>
      </xdr:nvSpPr>
      <xdr:spPr>
        <a:xfrm>
          <a:off x="8905875" y="714375"/>
          <a:ext cx="1104900" cy="2286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 baseline="0">
              <a:solidFill>
                <a:sysClr val="windowText" lastClr="000000"/>
              </a:solidFill>
            </a:rPr>
            <a:t>RESULTADO -&gt;</a:t>
          </a:r>
          <a:endParaRPr lang="pt-BR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314326</xdr:colOff>
      <xdr:row>10</xdr:row>
      <xdr:rowOff>85725</xdr:rowOff>
    </xdr:from>
    <xdr:to>
      <xdr:col>11</xdr:col>
      <xdr:colOff>419100</xdr:colOff>
      <xdr:row>25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DFFD5-0A24-44A8-AB03-B0081B854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24895-F845-45A7-9A38-2EF2A2545608}" name="Tabela1" displayName="Tabela1" ref="C7:E34" totalsRowShown="0" headerRowDxfId="10" dataDxfId="9">
  <autoFilter ref="C7:E34" xr:uid="{CB224895-F845-45A7-9A38-2EF2A2545608}"/>
  <tableColumns count="3">
    <tableColumn id="1" xr3:uid="{BC6B2592-6BC2-47AA-B949-843D81F1D727}" name="DATA" dataDxfId="1"/>
    <tableColumn id="2" xr3:uid="{6EE6A2F3-2807-4774-8089-BAD0696BDFC3}" name="CATEGORIA" dataDxfId="8"/>
    <tableColumn id="3" xr3:uid="{E30E60D8-3CAB-4585-A7E7-627FC0B080EA}" name="VALOR" dataDxfId="7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8C6A0-8F55-44C8-BE57-DFCDA5208592}" name="Tabela13" displayName="Tabela13" ref="G7:I34" totalsRowShown="0" headerRowDxfId="6" dataDxfId="5">
  <autoFilter ref="G7:I34" xr:uid="{ED08C6A0-8F55-44C8-BE57-DFCDA5208592}"/>
  <tableColumns count="3">
    <tableColumn id="1" xr3:uid="{84D9E3BD-53DA-489B-AC81-697D9C8C8554}" name="DATA" dataDxfId="4"/>
    <tableColumn id="2" xr3:uid="{DE781862-E1F7-42A3-881E-6C55117F84AC}" name="CATEGORIA" dataDxfId="3"/>
    <tableColumn id="3" xr3:uid="{9DF479DF-2BAF-4A98-8D93-A60F11D6135B}" name="VALOR" dataDxfId="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sheetPr codeName="Planilha1"/>
  <dimension ref="A1:A51"/>
  <sheetViews>
    <sheetView topLeftCell="A32" workbookViewId="0">
      <selection activeCell="B47" sqref="B47"/>
    </sheetView>
  </sheetViews>
  <sheetFormatPr defaultRowHeight="14.25"/>
  <cols>
    <col min="1" max="1" width="37.125" bestFit="1" customWidth="1"/>
  </cols>
  <sheetData>
    <row r="1" spans="1:1">
      <c r="A1" t="s">
        <v>50</v>
      </c>
    </row>
    <row r="2" spans="1:1">
      <c r="A2" t="s">
        <v>13</v>
      </c>
    </row>
    <row r="3" spans="1:1">
      <c r="A3" t="s">
        <v>48</v>
      </c>
    </row>
    <row r="4" spans="1:1">
      <c r="A4" t="s">
        <v>0</v>
      </c>
    </row>
    <row r="5" spans="1:1">
      <c r="A5" t="s">
        <v>38</v>
      </c>
    </row>
    <row r="6" spans="1:1">
      <c r="A6" t="s">
        <v>46</v>
      </c>
    </row>
    <row r="7" spans="1:1">
      <c r="A7" t="s">
        <v>43</v>
      </c>
    </row>
    <row r="8" spans="1:1">
      <c r="A8" t="s">
        <v>5</v>
      </c>
    </row>
    <row r="9" spans="1:1">
      <c r="A9" t="s">
        <v>28</v>
      </c>
    </row>
    <row r="10" spans="1:1">
      <c r="A10" t="s">
        <v>3</v>
      </c>
    </row>
    <row r="11" spans="1:1">
      <c r="A11" t="s">
        <v>8</v>
      </c>
    </row>
    <row r="12" spans="1:1">
      <c r="A12" t="s">
        <v>4</v>
      </c>
    </row>
    <row r="13" spans="1:1">
      <c r="A13" t="s">
        <v>12</v>
      </c>
    </row>
    <row r="14" spans="1:1">
      <c r="A14" t="s">
        <v>7</v>
      </c>
    </row>
    <row r="15" spans="1:1">
      <c r="A15" t="s">
        <v>11</v>
      </c>
    </row>
    <row r="16" spans="1:1">
      <c r="A16" t="s">
        <v>1</v>
      </c>
    </row>
    <row r="17" spans="1:1">
      <c r="A17" t="s">
        <v>15</v>
      </c>
    </row>
    <row r="18" spans="1:1">
      <c r="A18" t="s">
        <v>44</v>
      </c>
    </row>
    <row r="19" spans="1:1">
      <c r="A19" t="s">
        <v>9</v>
      </c>
    </row>
    <row r="20" spans="1:1">
      <c r="A20" t="s">
        <v>31</v>
      </c>
    </row>
    <row r="21" spans="1:1">
      <c r="A21" t="s">
        <v>39</v>
      </c>
    </row>
    <row r="22" spans="1:1">
      <c r="A22" t="s">
        <v>42</v>
      </c>
    </row>
    <row r="23" spans="1:1">
      <c r="A23" t="s">
        <v>14</v>
      </c>
    </row>
    <row r="24" spans="1:1">
      <c r="A24" t="s">
        <v>49</v>
      </c>
    </row>
    <row r="25" spans="1:1">
      <c r="A25" t="s">
        <v>45</v>
      </c>
    </row>
    <row r="26" spans="1:1">
      <c r="A26" t="s">
        <v>17</v>
      </c>
    </row>
    <row r="27" spans="1:1">
      <c r="A27" t="s">
        <v>16</v>
      </c>
    </row>
    <row r="28" spans="1:1">
      <c r="A28" t="s">
        <v>30</v>
      </c>
    </row>
    <row r="29" spans="1:1">
      <c r="A29" t="s">
        <v>6</v>
      </c>
    </row>
    <row r="30" spans="1:1">
      <c r="A30" t="s">
        <v>33</v>
      </c>
    </row>
    <row r="31" spans="1:1">
      <c r="A31" t="s">
        <v>40</v>
      </c>
    </row>
    <row r="32" spans="1:1">
      <c r="A32" t="s">
        <v>24</v>
      </c>
    </row>
    <row r="33" spans="1:1">
      <c r="A33" t="s">
        <v>19</v>
      </c>
    </row>
    <row r="34" spans="1:1">
      <c r="A34" t="s">
        <v>37</v>
      </c>
    </row>
    <row r="35" spans="1:1">
      <c r="A35" t="s">
        <v>41</v>
      </c>
    </row>
    <row r="36" spans="1:1">
      <c r="A36" t="s">
        <v>35</v>
      </c>
    </row>
    <row r="37" spans="1:1">
      <c r="A37" t="s">
        <v>23</v>
      </c>
    </row>
    <row r="38" spans="1:1">
      <c r="A38" t="s">
        <v>2</v>
      </c>
    </row>
    <row r="39" spans="1:1">
      <c r="A39" t="s">
        <v>36</v>
      </c>
    </row>
    <row r="40" spans="1:1">
      <c r="A40" t="s">
        <v>26</v>
      </c>
    </row>
    <row r="41" spans="1:1">
      <c r="A41" t="s">
        <v>10</v>
      </c>
    </row>
    <row r="42" spans="1:1">
      <c r="A42" t="s">
        <v>29</v>
      </c>
    </row>
    <row r="43" spans="1:1">
      <c r="A43" t="s">
        <v>18</v>
      </c>
    </row>
    <row r="44" spans="1:1">
      <c r="A44" t="s">
        <v>27</v>
      </c>
    </row>
    <row r="45" spans="1:1">
      <c r="A45" t="s">
        <v>21</v>
      </c>
    </row>
    <row r="46" spans="1:1">
      <c r="A46" t="s">
        <v>25</v>
      </c>
    </row>
    <row r="47" spans="1:1">
      <c r="A47" t="s">
        <v>47</v>
      </c>
    </row>
    <row r="48" spans="1:1">
      <c r="A48" t="s">
        <v>32</v>
      </c>
    </row>
    <row r="49" spans="1:1">
      <c r="A49" t="s">
        <v>20</v>
      </c>
    </row>
    <row r="50" spans="1:1">
      <c r="A50" t="s">
        <v>22</v>
      </c>
    </row>
    <row r="51" spans="1:1">
      <c r="A51" t="s">
        <v>34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4607-1C16-4480-A52B-3396D9D7430C}">
  <sheetPr codeName="Planilha3"/>
  <dimension ref="A1:E18"/>
  <sheetViews>
    <sheetView showGridLines="0" showRowColHeaders="0" zoomScaleNormal="100" workbookViewId="0">
      <selection activeCell="D5" sqref="D5"/>
    </sheetView>
  </sheetViews>
  <sheetFormatPr defaultRowHeight="14.25"/>
  <cols>
    <col min="1" max="1" width="25.75" style="1" customWidth="1"/>
    <col min="3" max="3" width="49.625" bestFit="1" customWidth="1"/>
    <col min="4" max="4" width="36.75" customWidth="1"/>
  </cols>
  <sheetData>
    <row r="1" spans="3:5" ht="7.5" customHeight="1"/>
    <row r="2" spans="3:5" ht="18.75" thickBot="1">
      <c r="C2" s="14" t="s">
        <v>51</v>
      </c>
      <c r="D2" s="3"/>
      <c r="E2" s="3"/>
    </row>
    <row r="3" spans="3:5" ht="15">
      <c r="C3" s="5" t="s">
        <v>52</v>
      </c>
      <c r="D3" s="4"/>
      <c r="E3" s="4"/>
    </row>
    <row r="4" spans="3:5" ht="15">
      <c r="C4" s="2"/>
      <c r="D4" s="2"/>
      <c r="E4" s="2"/>
    </row>
    <row r="5" spans="3:5" ht="17.25">
      <c r="C5" s="6" t="s">
        <v>53</v>
      </c>
      <c r="D5" s="7" t="s">
        <v>54</v>
      </c>
      <c r="E5" s="2"/>
    </row>
    <row r="6" spans="3:5" ht="17.25">
      <c r="C6" s="6" t="s">
        <v>55</v>
      </c>
      <c r="D6" s="8">
        <v>12312312398</v>
      </c>
      <c r="E6" s="2"/>
    </row>
    <row r="7" spans="3:5" ht="17.25">
      <c r="C7" s="6" t="s">
        <v>56</v>
      </c>
      <c r="D7" s="9">
        <v>34605</v>
      </c>
      <c r="E7" s="2"/>
    </row>
    <row r="8" spans="3:5" ht="17.25">
      <c r="C8" s="6" t="s">
        <v>57</v>
      </c>
      <c r="D8" s="7">
        <v>31713388</v>
      </c>
      <c r="E8" s="2"/>
    </row>
    <row r="9" spans="3:5" ht="17.25">
      <c r="C9" s="6" t="s">
        <v>58</v>
      </c>
      <c r="D9" s="7" t="s">
        <v>59</v>
      </c>
      <c r="E9" s="2"/>
    </row>
    <row r="10" spans="3:5" ht="17.25">
      <c r="C10" s="6" t="s">
        <v>60</v>
      </c>
      <c r="D10" s="7" t="s">
        <v>61</v>
      </c>
      <c r="E10" s="2"/>
    </row>
    <row r="11" spans="3:5" ht="17.25">
      <c r="C11" s="6" t="s">
        <v>62</v>
      </c>
      <c r="D11" s="7" t="s">
        <v>63</v>
      </c>
      <c r="E11" s="2"/>
    </row>
    <row r="12" spans="3:5" ht="17.25">
      <c r="C12" s="6" t="s">
        <v>64</v>
      </c>
      <c r="D12" s="10">
        <v>987654321</v>
      </c>
      <c r="E12" s="2"/>
    </row>
    <row r="13" spans="3:5" ht="17.25">
      <c r="C13" s="6" t="s">
        <v>65</v>
      </c>
      <c r="D13" s="11">
        <v>1131713388</v>
      </c>
      <c r="E13" s="2"/>
    </row>
    <row r="14" spans="3:5" ht="17.25">
      <c r="C14" s="6" t="s">
        <v>66</v>
      </c>
      <c r="D14" s="12">
        <v>11931713388</v>
      </c>
      <c r="E14" s="2"/>
    </row>
    <row r="15" spans="3:5" ht="17.25">
      <c r="C15" s="6" t="s">
        <v>67</v>
      </c>
      <c r="D15" s="13" t="s">
        <v>68</v>
      </c>
      <c r="E15" s="2"/>
    </row>
    <row r="16" spans="3:5" ht="17.25">
      <c r="C16" s="6" t="s">
        <v>69</v>
      </c>
      <c r="D16" s="7" t="s">
        <v>70</v>
      </c>
      <c r="E16" s="2"/>
    </row>
    <row r="17" spans="3:5" ht="17.25">
      <c r="C17" s="6" t="s">
        <v>71</v>
      </c>
      <c r="D17" s="7" t="s">
        <v>72</v>
      </c>
      <c r="E17" s="2"/>
    </row>
    <row r="18" spans="3:5" ht="17.25">
      <c r="C18" s="6" t="s">
        <v>73</v>
      </c>
      <c r="D18" s="7" t="s">
        <v>72</v>
      </c>
      <c r="E18" s="2"/>
    </row>
  </sheetData>
  <sheetProtection sheet="1" objects="1" scenarios="1" selectLockedCells="1"/>
  <dataValidations count="1">
    <dataValidation type="list" allowBlank="1" showInputMessage="1" showErrorMessage="1" sqref="D16:D18" xr:uid="{B226CA5A-440C-4C3B-A8B0-E1EB18017F50}">
      <formula1>"SIM,NÃO"</formula1>
    </dataValidation>
  </dataValidations>
  <hyperlinks>
    <hyperlink ref="D15" r:id="rId1" xr:uid="{4F02A39E-BE64-4FCF-9572-3D42605AB434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A607-33E6-4EF1-9955-2800FFFD5C4F}">
  <sheetPr codeName="Planilha4"/>
  <dimension ref="A2:E21"/>
  <sheetViews>
    <sheetView showGridLines="0" showRowColHeaders="0" workbookViewId="0">
      <selection activeCell="C2" sqref="C2"/>
    </sheetView>
  </sheetViews>
  <sheetFormatPr defaultRowHeight="14.25"/>
  <cols>
    <col min="1" max="1" width="25.75" style="1" customWidth="1"/>
    <col min="3" max="4" width="49.625" customWidth="1"/>
  </cols>
  <sheetData>
    <row r="2" spans="3:5" ht="18.75" thickBot="1">
      <c r="C2" s="14" t="s">
        <v>74</v>
      </c>
      <c r="D2" s="3"/>
      <c r="E2" s="3"/>
    </row>
    <row r="3" spans="3:5" ht="15">
      <c r="C3" s="5" t="s">
        <v>75</v>
      </c>
      <c r="D3" s="4"/>
      <c r="E3" s="4"/>
    </row>
    <row r="5" spans="3:5" ht="16.5">
      <c r="C5" s="15" t="s">
        <v>76</v>
      </c>
    </row>
    <row r="6" spans="3:5" ht="15.75">
      <c r="C6" s="29">
        <f>SUM(D10,D15,D20)</f>
        <v>58377777</v>
      </c>
      <c r="D6" s="30"/>
    </row>
    <row r="8" spans="3:5">
      <c r="C8" s="27" t="s">
        <v>77</v>
      </c>
    </row>
    <row r="9" spans="3:5" ht="16.5">
      <c r="C9" s="26" t="s">
        <v>78</v>
      </c>
      <c r="D9" s="18" t="s">
        <v>42</v>
      </c>
    </row>
    <row r="10" spans="3:5" ht="16.5">
      <c r="C10" s="26" t="s">
        <v>79</v>
      </c>
      <c r="D10" s="19">
        <v>500000</v>
      </c>
    </row>
    <row r="11" spans="3:5" ht="16.5">
      <c r="C11" s="26" t="s">
        <v>80</v>
      </c>
      <c r="D11" s="18" t="s">
        <v>81</v>
      </c>
    </row>
    <row r="12" spans="3:5">
      <c r="D12" s="28"/>
    </row>
    <row r="13" spans="3:5">
      <c r="C13" s="27" t="s">
        <v>82</v>
      </c>
      <c r="D13" s="28"/>
    </row>
    <row r="14" spans="3:5" ht="16.5">
      <c r="C14" s="26" t="s">
        <v>78</v>
      </c>
      <c r="D14" s="18" t="s">
        <v>27</v>
      </c>
    </row>
    <row r="15" spans="3:5" ht="16.5">
      <c r="C15" s="26" t="s">
        <v>79</v>
      </c>
      <c r="D15" s="19">
        <v>1312312</v>
      </c>
    </row>
    <row r="16" spans="3:5" ht="16.5">
      <c r="C16" s="26" t="s">
        <v>80</v>
      </c>
      <c r="D16" s="18" t="s">
        <v>81</v>
      </c>
    </row>
    <row r="17" spans="3:4">
      <c r="D17" s="28"/>
    </row>
    <row r="18" spans="3:4">
      <c r="C18" s="27" t="s">
        <v>83</v>
      </c>
      <c r="D18" s="28"/>
    </row>
    <row r="19" spans="3:4" ht="16.5">
      <c r="C19" s="26" t="s">
        <v>78</v>
      </c>
      <c r="D19" s="18" t="s">
        <v>31</v>
      </c>
    </row>
    <row r="20" spans="3:4" ht="16.5">
      <c r="C20" s="26" t="s">
        <v>79</v>
      </c>
      <c r="D20" s="19">
        <v>56565465</v>
      </c>
    </row>
    <row r="21" spans="3:4" ht="16.5">
      <c r="C21" s="26" t="s">
        <v>80</v>
      </c>
      <c r="D21" s="18" t="s">
        <v>81</v>
      </c>
    </row>
  </sheetData>
  <sheetProtection selectLockedCells="1"/>
  <mergeCells count="1"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FP" xr:uid="{95DAC559-85FA-437F-BA21-A13B399D42A4}">
          <x14:formula1>
            <xm:f>Tabelas!$A$2:$A$51</xm:f>
          </x14:formula1>
          <xm:sqref>D9 D14 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A55A-BD15-4EA8-BAC1-260E9ECA6338}">
  <sheetPr codeName="Planilha5"/>
  <dimension ref="A2:I35"/>
  <sheetViews>
    <sheetView showGridLines="0" showRowColHeaders="0" workbookViewId="0">
      <selection activeCell="C8" sqref="C8"/>
    </sheetView>
  </sheetViews>
  <sheetFormatPr defaultRowHeight="14.25"/>
  <cols>
    <col min="1" max="1" width="25.75" style="1" customWidth="1"/>
    <col min="3" max="5" width="14.5" customWidth="1"/>
    <col min="6" max="6" width="3.625" customWidth="1"/>
    <col min="7" max="7" width="15.375" customWidth="1"/>
    <col min="8" max="8" width="19.5" bestFit="1" customWidth="1"/>
    <col min="9" max="9" width="14.5" customWidth="1"/>
  </cols>
  <sheetData>
    <row r="2" spans="3:9" ht="18.75" thickBot="1">
      <c r="C2" s="33" t="s">
        <v>84</v>
      </c>
      <c r="D2" s="33"/>
      <c r="E2" s="33"/>
      <c r="F2" s="33"/>
      <c r="G2" s="33"/>
      <c r="H2" s="32"/>
      <c r="I2" s="32"/>
    </row>
    <row r="3" spans="3:9" ht="15" customHeight="1">
      <c r="C3" s="34" t="s">
        <v>85</v>
      </c>
      <c r="D3" s="34"/>
      <c r="E3" s="34"/>
      <c r="F3" s="34"/>
      <c r="G3" s="34"/>
      <c r="H3" s="35"/>
      <c r="I3" s="35"/>
    </row>
    <row r="6" spans="3:9" ht="16.5">
      <c r="C6" s="31" t="s">
        <v>98</v>
      </c>
      <c r="D6" s="31"/>
      <c r="E6" s="31"/>
      <c r="G6" s="31" t="s">
        <v>91</v>
      </c>
      <c r="H6" s="31"/>
      <c r="I6" s="31"/>
    </row>
    <row r="7" spans="3:9" ht="15">
      <c r="C7" s="25" t="s">
        <v>87</v>
      </c>
      <c r="D7" s="25" t="s">
        <v>88</v>
      </c>
      <c r="E7" s="25" t="s">
        <v>89</v>
      </c>
      <c r="G7" s="25" t="s">
        <v>87</v>
      </c>
      <c r="H7" s="25" t="s">
        <v>88</v>
      </c>
      <c r="I7" s="25" t="s">
        <v>89</v>
      </c>
    </row>
    <row r="8" spans="3:9" ht="16.5">
      <c r="C8" s="20">
        <v>45775</v>
      </c>
      <c r="D8" s="21" t="s">
        <v>90</v>
      </c>
      <c r="E8" s="22">
        <v>3000</v>
      </c>
      <c r="G8" s="20">
        <v>45775</v>
      </c>
      <c r="H8" s="21" t="s">
        <v>92</v>
      </c>
      <c r="I8" s="22">
        <v>500</v>
      </c>
    </row>
    <row r="9" spans="3:9" ht="16.5">
      <c r="C9" s="36">
        <v>45806</v>
      </c>
      <c r="D9" s="23" t="s">
        <v>96</v>
      </c>
      <c r="E9" s="24">
        <v>10000</v>
      </c>
      <c r="G9" s="36">
        <v>45775</v>
      </c>
      <c r="H9" s="23" t="s">
        <v>93</v>
      </c>
      <c r="I9" s="24">
        <v>150</v>
      </c>
    </row>
    <row r="10" spans="3:9" ht="16.5">
      <c r="C10" s="20"/>
      <c r="D10" s="21"/>
      <c r="E10" s="22"/>
      <c r="G10" s="20">
        <v>45775</v>
      </c>
      <c r="H10" s="21" t="s">
        <v>93</v>
      </c>
      <c r="I10" s="22">
        <v>200</v>
      </c>
    </row>
    <row r="11" spans="3:9" ht="16.5">
      <c r="C11" s="36"/>
      <c r="D11" s="23"/>
      <c r="E11" s="24"/>
      <c r="G11" s="36">
        <v>45805</v>
      </c>
      <c r="H11" s="23" t="s">
        <v>97</v>
      </c>
      <c r="I11" s="24">
        <v>5000</v>
      </c>
    </row>
    <row r="12" spans="3:9" ht="16.5">
      <c r="C12" s="20"/>
      <c r="D12" s="21"/>
      <c r="E12" s="22"/>
      <c r="G12" s="20"/>
      <c r="H12" s="21"/>
      <c r="I12" s="22"/>
    </row>
    <row r="13" spans="3:9" ht="16.5">
      <c r="C13" s="36"/>
      <c r="D13" s="23"/>
      <c r="E13" s="24"/>
      <c r="G13" s="36"/>
      <c r="H13" s="23"/>
      <c r="I13" s="24"/>
    </row>
    <row r="14" spans="3:9" ht="16.5">
      <c r="C14" s="20"/>
      <c r="D14" s="21"/>
      <c r="E14" s="22"/>
      <c r="G14" s="20"/>
      <c r="H14" s="21"/>
      <c r="I14" s="22"/>
    </row>
    <row r="15" spans="3:9" ht="16.5">
      <c r="C15" s="36"/>
      <c r="D15" s="23"/>
      <c r="E15" s="24"/>
      <c r="G15" s="36"/>
      <c r="H15" s="23"/>
      <c r="I15" s="24"/>
    </row>
    <row r="16" spans="3:9" ht="16.5">
      <c r="C16" s="20"/>
      <c r="D16" s="21"/>
      <c r="E16" s="22"/>
      <c r="G16" s="20"/>
      <c r="H16" s="21"/>
      <c r="I16" s="22"/>
    </row>
    <row r="17" spans="3:9" ht="16.5">
      <c r="C17" s="36"/>
      <c r="D17" s="23"/>
      <c r="E17" s="24"/>
      <c r="G17" s="36"/>
      <c r="H17" s="23"/>
      <c r="I17" s="24"/>
    </row>
    <row r="18" spans="3:9" ht="16.5">
      <c r="C18" s="20"/>
      <c r="D18" s="21"/>
      <c r="E18" s="22"/>
      <c r="G18" s="20"/>
      <c r="H18" s="21"/>
      <c r="I18" s="22"/>
    </row>
    <row r="19" spans="3:9" ht="16.5">
      <c r="C19" s="36"/>
      <c r="D19" s="23"/>
      <c r="E19" s="24"/>
      <c r="G19" s="36"/>
      <c r="H19" s="23"/>
      <c r="I19" s="24"/>
    </row>
    <row r="20" spans="3:9" ht="16.5">
      <c r="C20" s="20"/>
      <c r="D20" s="21"/>
      <c r="E20" s="22"/>
      <c r="G20" s="20"/>
      <c r="H20" s="21"/>
      <c r="I20" s="22"/>
    </row>
    <row r="21" spans="3:9" ht="16.5">
      <c r="C21" s="36"/>
      <c r="D21" s="23"/>
      <c r="E21" s="24"/>
      <c r="G21" s="36"/>
      <c r="H21" s="23"/>
      <c r="I21" s="24"/>
    </row>
    <row r="22" spans="3:9" ht="16.5">
      <c r="C22" s="20"/>
      <c r="D22" s="21"/>
      <c r="E22" s="22"/>
      <c r="G22" s="20"/>
      <c r="H22" s="21"/>
      <c r="I22" s="22"/>
    </row>
    <row r="23" spans="3:9" ht="16.5">
      <c r="C23" s="36"/>
      <c r="D23" s="23"/>
      <c r="E23" s="24"/>
      <c r="G23" s="36"/>
      <c r="H23" s="23"/>
      <c r="I23" s="24"/>
    </row>
    <row r="24" spans="3:9" ht="16.5">
      <c r="C24" s="20"/>
      <c r="D24" s="21"/>
      <c r="E24" s="22"/>
      <c r="G24" s="20"/>
      <c r="H24" s="21"/>
      <c r="I24" s="22"/>
    </row>
    <row r="25" spans="3:9" ht="16.5">
      <c r="C25" s="36"/>
      <c r="D25" s="23"/>
      <c r="E25" s="24"/>
      <c r="G25" s="36"/>
      <c r="H25" s="23"/>
      <c r="I25" s="24"/>
    </row>
    <row r="26" spans="3:9" ht="16.5">
      <c r="C26" s="20"/>
      <c r="D26" s="21"/>
      <c r="E26" s="22"/>
      <c r="G26" s="20"/>
      <c r="H26" s="21"/>
      <c r="I26" s="22"/>
    </row>
    <row r="27" spans="3:9" ht="16.5">
      <c r="C27" s="36"/>
      <c r="D27" s="23"/>
      <c r="E27" s="24"/>
      <c r="G27" s="36"/>
      <c r="H27" s="23"/>
      <c r="I27" s="24"/>
    </row>
    <row r="28" spans="3:9" ht="16.5">
      <c r="C28" s="20"/>
      <c r="D28" s="21"/>
      <c r="E28" s="22"/>
      <c r="G28" s="20"/>
      <c r="H28" s="21"/>
      <c r="I28" s="22"/>
    </row>
    <row r="29" spans="3:9" ht="16.5">
      <c r="C29" s="36"/>
      <c r="D29" s="23"/>
      <c r="E29" s="24"/>
      <c r="G29" s="36"/>
      <c r="H29" s="23"/>
      <c r="I29" s="24"/>
    </row>
    <row r="30" spans="3:9" ht="16.5">
      <c r="C30" s="20"/>
      <c r="D30" s="21"/>
      <c r="E30" s="22"/>
      <c r="G30" s="20"/>
      <c r="H30" s="21"/>
      <c r="I30" s="22"/>
    </row>
    <row r="31" spans="3:9" ht="16.5">
      <c r="C31" s="36"/>
      <c r="D31" s="23"/>
      <c r="E31" s="24"/>
      <c r="G31" s="36"/>
      <c r="H31" s="23"/>
      <c r="I31" s="24"/>
    </row>
    <row r="32" spans="3:9" ht="16.5">
      <c r="C32" s="20"/>
      <c r="D32" s="21"/>
      <c r="E32" s="22"/>
      <c r="G32" s="20"/>
      <c r="H32" s="21"/>
      <c r="I32" s="22"/>
    </row>
    <row r="33" spans="3:9" ht="16.5">
      <c r="C33" s="36"/>
      <c r="D33" s="23"/>
      <c r="E33" s="24"/>
      <c r="G33" s="36"/>
      <c r="H33" s="23"/>
      <c r="I33" s="24"/>
    </row>
    <row r="34" spans="3:9" ht="16.5">
      <c r="C34" s="20"/>
      <c r="D34" s="21"/>
      <c r="E34" s="22"/>
      <c r="G34" s="20"/>
      <c r="H34" s="21"/>
      <c r="I34" s="22"/>
    </row>
    <row r="35" spans="3:9" ht="16.5">
      <c r="C35" s="16"/>
      <c r="D35" s="16"/>
      <c r="E35" s="17"/>
    </row>
  </sheetData>
  <sheetProtection sheet="1" objects="1" scenarios="1" selectLockedCells="1"/>
  <mergeCells count="3">
    <mergeCell ref="C6:E6"/>
    <mergeCell ref="G6:I6"/>
    <mergeCell ref="C2:I2"/>
  </mergeCells>
  <dataValidations count="2">
    <dataValidation type="list" allowBlank="1" showInputMessage="1" showErrorMessage="1" sqref="D8:D34" xr:uid="{D2157B64-4037-47D1-AD4C-27188FD78C71}">
      <formula1>"HOLERITE,CNPJ,FREELANCE"</formula1>
    </dataValidation>
    <dataValidation type="list" allowBlank="1" showInputMessage="1" showErrorMessage="1" sqref="H8:H34" xr:uid="{A254CECE-A6E2-4A1D-A491-32D57A7D5016}">
      <formula1>"FIXOS, VARIÁVEL ESSENCIAL,VARIÁVEL CONFORTO"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F2A4-F6C8-4B08-88FE-92F2F46FE1C5}">
  <dimension ref="E5:O10"/>
  <sheetViews>
    <sheetView showGridLines="0" showRowColHeaders="0" tabSelected="1" workbookViewId="0">
      <selection activeCell="O19" sqref="O19"/>
    </sheetView>
  </sheetViews>
  <sheetFormatPr defaultColWidth="10.25" defaultRowHeight="14.25"/>
  <cols>
    <col min="7" max="7" width="1.25" customWidth="1"/>
    <col min="10" max="10" width="1.25" customWidth="1"/>
    <col min="15" max="15" width="11.75" bestFit="1" customWidth="1"/>
  </cols>
  <sheetData>
    <row r="5" spans="5:15" ht="20.25" customHeight="1" thickBot="1">
      <c r="E5" s="38" t="s">
        <v>94</v>
      </c>
      <c r="F5" s="38"/>
      <c r="G5" s="38"/>
      <c r="H5" s="38"/>
      <c r="I5" s="38"/>
      <c r="J5" s="38"/>
      <c r="K5" s="38"/>
      <c r="L5" s="38"/>
      <c r="N5" s="41" t="str">
        <f>E8</f>
        <v>ENTRADAS</v>
      </c>
      <c r="O5" s="42">
        <f>E9</f>
        <v>13000</v>
      </c>
    </row>
    <row r="6" spans="5:15">
      <c r="N6" s="41" t="str">
        <f>H8</f>
        <v>SAÍDAS</v>
      </c>
      <c r="O6" s="42">
        <f>H9</f>
        <v>5850</v>
      </c>
    </row>
    <row r="7" spans="5:15">
      <c r="N7" s="41"/>
      <c r="O7" s="42"/>
    </row>
    <row r="8" spans="5:15" ht="16.5">
      <c r="E8" s="31" t="s">
        <v>86</v>
      </c>
      <c r="F8" s="31"/>
      <c r="H8" s="31" t="s">
        <v>91</v>
      </c>
      <c r="I8" s="31"/>
      <c r="K8" s="31" t="s">
        <v>95</v>
      </c>
      <c r="L8" s="31"/>
    </row>
    <row r="9" spans="5:15" ht="14.25" customHeight="1">
      <c r="E9" s="39">
        <f>SUM(Notas!E8:E34)</f>
        <v>13000</v>
      </c>
      <c r="F9" s="39"/>
      <c r="H9" s="40">
        <f>SUM(Notas!I8:I34)</f>
        <v>5850</v>
      </c>
      <c r="I9" s="40"/>
      <c r="K9" s="37">
        <f>E9-H9</f>
        <v>7150</v>
      </c>
      <c r="L9" s="37"/>
    </row>
    <row r="10" spans="5:15" ht="14.25" customHeight="1">
      <c r="E10" s="39"/>
      <c r="F10" s="39"/>
      <c r="H10" s="40"/>
      <c r="I10" s="40"/>
      <c r="K10" s="37"/>
      <c r="L10" s="37"/>
    </row>
  </sheetData>
  <sheetProtection sheet="1" objects="1" scenarios="1" selectLockedCells="1" selectUnlockedCells="1"/>
  <mergeCells count="7">
    <mergeCell ref="K8:L8"/>
    <mergeCell ref="K9:L10"/>
    <mergeCell ref="E5:L5"/>
    <mergeCell ref="E8:F8"/>
    <mergeCell ref="E9:F10"/>
    <mergeCell ref="H8:I8"/>
    <mergeCell ref="H9:I10"/>
  </mergeCells>
  <conditionalFormatting sqref="K9:L10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Tabelas</vt:lpstr>
      <vt:lpstr>Títular</vt:lpstr>
      <vt:lpstr>Infome</vt:lpstr>
      <vt:lpstr>Notas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KEMILY MORELATO</cp:lastModifiedBy>
  <dcterms:created xsi:type="dcterms:W3CDTF">2025-04-28T22:47:29Z</dcterms:created>
  <dcterms:modified xsi:type="dcterms:W3CDTF">2025-11-14T16:43:30Z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